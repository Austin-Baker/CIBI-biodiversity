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stinbaker/Desktop/"/>
    </mc:Choice>
  </mc:AlternateContent>
  <xr:revisionPtr revIDLastSave="0" documentId="13_ncr:1_{F541CA09-015A-8543-AC6A-8E0C27D73FBB}" xr6:coauthVersionLast="36" xr6:coauthVersionMax="36" xr10:uidLastSave="{00000000-0000-0000-0000-000000000000}"/>
  <bookViews>
    <workbookView xWindow="17300" yWindow="740" windowWidth="16160" windowHeight="15640" xr2:uid="{C1E38769-C149-174A-A809-68555BFB2625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2" i="1" l="1"/>
  <c r="J62" i="1"/>
  <c r="I62" i="1"/>
  <c r="H62" i="1"/>
  <c r="G62" i="1"/>
  <c r="F62" i="1"/>
  <c r="E62" i="1"/>
  <c r="D62" i="1"/>
  <c r="C62" i="1"/>
  <c r="B62" i="1"/>
  <c r="L61" i="1"/>
  <c r="K61" i="1"/>
  <c r="J61" i="1"/>
  <c r="I61" i="1"/>
  <c r="H61" i="1"/>
  <c r="G61" i="1"/>
  <c r="F61" i="1"/>
  <c r="E61" i="1"/>
  <c r="D61" i="1"/>
  <c r="C61" i="1"/>
  <c r="B61" i="1"/>
  <c r="M60" i="1"/>
  <c r="L60" i="1"/>
  <c r="K60" i="1"/>
  <c r="J60" i="1"/>
  <c r="I60" i="1"/>
  <c r="H60" i="1"/>
  <c r="G60" i="1"/>
  <c r="F60" i="1"/>
  <c r="E60" i="1"/>
  <c r="D60" i="1"/>
  <c r="C60" i="1"/>
  <c r="B60" i="1"/>
  <c r="M59" i="1"/>
  <c r="L59" i="1"/>
  <c r="K59" i="1"/>
  <c r="J59" i="1"/>
  <c r="I59" i="1"/>
  <c r="H59" i="1"/>
  <c r="G59" i="1"/>
  <c r="F59" i="1"/>
  <c r="E59" i="1"/>
  <c r="D59" i="1"/>
  <c r="C59" i="1"/>
  <c r="B59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V22" i="1"/>
  <c r="U22" i="1"/>
  <c r="T22" i="1"/>
  <c r="V19" i="1"/>
  <c r="U19" i="1"/>
  <c r="T19" i="1"/>
  <c r="V18" i="1"/>
  <c r="U18" i="1"/>
  <c r="T18" i="1"/>
  <c r="V17" i="1"/>
  <c r="U17" i="1"/>
  <c r="T17" i="1"/>
  <c r="V16" i="1"/>
  <c r="V20" i="1" s="1"/>
  <c r="U16" i="1"/>
  <c r="T16" i="1"/>
  <c r="V15" i="1"/>
  <c r="U15" i="1"/>
  <c r="T15" i="1"/>
  <c r="V14" i="1"/>
  <c r="U14" i="1"/>
  <c r="T14" i="1"/>
  <c r="V13" i="1"/>
  <c r="U13" i="1"/>
  <c r="T13" i="1"/>
  <c r="V12" i="1"/>
  <c r="U12" i="1"/>
  <c r="T12" i="1"/>
  <c r="V11" i="1"/>
  <c r="U11" i="1"/>
  <c r="T11" i="1"/>
  <c r="V10" i="1"/>
  <c r="U10" i="1"/>
  <c r="T10" i="1"/>
  <c r="V9" i="1"/>
  <c r="U9" i="1"/>
  <c r="T9" i="1"/>
  <c r="V8" i="1"/>
  <c r="U8" i="1"/>
  <c r="T8" i="1"/>
  <c r="V7" i="1"/>
  <c r="U7" i="1"/>
  <c r="T7" i="1"/>
  <c r="V6" i="1"/>
  <c r="U6" i="1"/>
  <c r="T6" i="1"/>
  <c r="V5" i="1"/>
  <c r="U5" i="1"/>
  <c r="T5" i="1"/>
  <c r="V4" i="1"/>
  <c r="U4" i="1"/>
  <c r="T4" i="1"/>
  <c r="V3" i="1"/>
  <c r="U3" i="1"/>
  <c r="T3" i="1"/>
</calcChain>
</file>

<file path=xl/sharedStrings.xml><?xml version="1.0" encoding="utf-8"?>
<sst xmlns="http://schemas.openxmlformats.org/spreadsheetml/2006/main" count="395" uniqueCount="355">
  <si>
    <t>Site name</t>
  </si>
  <si>
    <t># bulk samples (pre-filter)</t>
  </si>
  <si>
    <t># bulk samples (post-filter)</t>
  </si>
  <si>
    <t>Sample size</t>
  </si>
  <si>
    <t># observed species</t>
  </si>
  <si>
    <t>Coverage estimate</t>
  </si>
  <si>
    <t>CV for dataset</t>
  </si>
  <si>
    <t>Cut-off point</t>
  </si>
  <si>
    <t># Observed rare individuals</t>
  </si>
  <si>
    <t># Observed rare species</t>
  </si>
  <si>
    <t>Sample coverage for rare group</t>
  </si>
  <si>
    <t>CV for rare group in ACE</t>
  </si>
  <si>
    <t>CV1 for rare group in ACE-1</t>
  </si>
  <si>
    <t># Observed abundant individuals</t>
  </si>
  <si>
    <t># Observed abundant species</t>
  </si>
  <si>
    <t>iChao1 estimate</t>
  </si>
  <si>
    <t>iChao1 s.e.</t>
  </si>
  <si>
    <t>iChao1 95%Lower</t>
  </si>
  <si>
    <t>iChao1 95%Upper</t>
  </si>
  <si>
    <t>minus error</t>
  </si>
  <si>
    <t>plus error</t>
  </si>
  <si>
    <t>Percent complete</t>
  </si>
  <si>
    <t>n</t>
  </si>
  <si>
    <t>D</t>
  </si>
  <si>
    <t>C</t>
  </si>
  <si>
    <t>CV</t>
  </si>
  <si>
    <t>k</t>
  </si>
  <si>
    <t>n_rare</t>
  </si>
  <si>
    <t>D_rare</t>
  </si>
  <si>
    <t>C_rare</t>
  </si>
  <si>
    <t>CV_rare</t>
  </si>
  <si>
    <t>CV1_rare</t>
  </si>
  <si>
    <t>n_abun</t>
  </si>
  <si>
    <t>D_abun</t>
  </si>
  <si>
    <t>Silicon Valley, Stanford Academic Reserve</t>
  </si>
  <si>
    <t>Pescadero Creek Rd</t>
  </si>
  <si>
    <t>Reinhardt Redwood Regional Park (Redwood Grove)</t>
  </si>
  <si>
    <t>Silicon Valley, Hidden Villa</t>
  </si>
  <si>
    <t>Lopez Ridge Vernal Pools</t>
  </si>
  <si>
    <t>Columbine Rd SW of Weed</t>
  </si>
  <si>
    <t>Reinhardt Redwood Regional Park (Oak Woodland)</t>
  </si>
  <si>
    <t>Silicon Valley, Foothills Park</t>
  </si>
  <si>
    <t>Catalina, Harbor Blvd</t>
  </si>
  <si>
    <t>Anza Borrego UC Reserve</t>
  </si>
  <si>
    <t>Picacho State Park</t>
  </si>
  <si>
    <t>Tierra Del Sol SDAA</t>
  </si>
  <si>
    <t>Dye Creek Preserve</t>
  </si>
  <si>
    <t>Blue Oak Ranch Reserve</t>
  </si>
  <si>
    <t>Granite Mountains Reserve</t>
  </si>
  <si>
    <t>Wheatley Ranch</t>
  </si>
  <si>
    <t>Burns Pinon Ridge Reserve</t>
  </si>
  <si>
    <t>McLaughlin Natural Reserve</t>
  </si>
  <si>
    <t>GMP#32362</t>
  </si>
  <si>
    <t>GMP#32364</t>
  </si>
  <si>
    <t>GMP#32366</t>
  </si>
  <si>
    <t>GMP#32368</t>
  </si>
  <si>
    <t>GMP#32370</t>
  </si>
  <si>
    <t>GMP#32372</t>
  </si>
  <si>
    <t>GMP#34026</t>
  </si>
  <si>
    <t>GMP#34030</t>
  </si>
  <si>
    <t>GMP#34032</t>
  </si>
  <si>
    <t>GMP#34034</t>
  </si>
  <si>
    <t>GMP#34036</t>
  </si>
  <si>
    <t>GMP#34038</t>
  </si>
  <si>
    <t>GMP#34040</t>
  </si>
  <si>
    <t>GMP#34042</t>
  </si>
  <si>
    <t>GMP#34045</t>
  </si>
  <si>
    <t>GMP#34048</t>
  </si>
  <si>
    <t>GMP#34050</t>
  </si>
  <si>
    <t>GMP#34052</t>
  </si>
  <si>
    <t>GMP#34054</t>
  </si>
  <si>
    <t>GMP#34056</t>
  </si>
  <si>
    <t>GMP#34058</t>
  </si>
  <si>
    <t>GMP#34062</t>
  </si>
  <si>
    <t>CIBI00004</t>
  </si>
  <si>
    <t>CIBI00006</t>
  </si>
  <si>
    <t>CIBI00055</t>
  </si>
  <si>
    <t>CIBI00445</t>
  </si>
  <si>
    <t>CIBI00450</t>
  </si>
  <si>
    <t>CIBI00454</t>
  </si>
  <si>
    <t>CIBI00781</t>
  </si>
  <si>
    <t>CIBI00920</t>
  </si>
  <si>
    <t>CIBI00922</t>
  </si>
  <si>
    <t>CIBI01305</t>
  </si>
  <si>
    <t>CIBI01310</t>
  </si>
  <si>
    <t>CIBI01378</t>
  </si>
  <si>
    <t>CIBI01380</t>
  </si>
  <si>
    <t>CIBI01390</t>
  </si>
  <si>
    <t>CIBI01392</t>
  </si>
  <si>
    <t>CIBI01469</t>
  </si>
  <si>
    <t>CIBI01501</t>
  </si>
  <si>
    <t>CIBI01607</t>
  </si>
  <si>
    <t>CIBI01782</t>
  </si>
  <si>
    <t>CIBI01787</t>
  </si>
  <si>
    <t>CIBI01962</t>
  </si>
  <si>
    <t>CIBI01964</t>
  </si>
  <si>
    <t>GMP#32349</t>
  </si>
  <si>
    <t>GMP#32351</t>
  </si>
  <si>
    <t>GMP#32353</t>
  </si>
  <si>
    <t>GMP#32357</t>
  </si>
  <si>
    <t>GMP#32359</t>
  </si>
  <si>
    <t>GMP#33974</t>
  </si>
  <si>
    <t>GMP#33978</t>
  </si>
  <si>
    <t>GMP#33980</t>
  </si>
  <si>
    <t>GMP#33982</t>
  </si>
  <si>
    <t>GMP#33986</t>
  </si>
  <si>
    <t>GMP#33988</t>
  </si>
  <si>
    <t>GMP#33990</t>
  </si>
  <si>
    <t>GMP#33994</t>
  </si>
  <si>
    <t>GMP#33996</t>
  </si>
  <si>
    <t>GMP#33998</t>
  </si>
  <si>
    <t>GMP#34000</t>
  </si>
  <si>
    <t>GMP#34002</t>
  </si>
  <si>
    <t>GMP#34004</t>
  </si>
  <si>
    <t>GMP#34006</t>
  </si>
  <si>
    <t>GMP#34010</t>
  </si>
  <si>
    <t>GMP#33010</t>
  </si>
  <si>
    <t>GMP#33012</t>
  </si>
  <si>
    <t>GMP#33014</t>
  </si>
  <si>
    <t>GMP#33018</t>
  </si>
  <si>
    <t>GMP#33020</t>
  </si>
  <si>
    <t>GMP#33022</t>
  </si>
  <si>
    <t>GMP#33026</t>
  </si>
  <si>
    <t>GMP#33028</t>
  </si>
  <si>
    <t>GMP#33030</t>
  </si>
  <si>
    <t>GMP#33033</t>
  </si>
  <si>
    <t>GMP#34015</t>
  </si>
  <si>
    <t>GMP#34018</t>
  </si>
  <si>
    <t>GMP#34021</t>
  </si>
  <si>
    <t>GMP#34023</t>
  </si>
  <si>
    <t>GMP#34064</t>
  </si>
  <si>
    <t>GMP#34068</t>
  </si>
  <si>
    <t>GMP#34070</t>
  </si>
  <si>
    <t>GMP#34072</t>
  </si>
  <si>
    <t>CIBI00625</t>
  </si>
  <si>
    <t>CIBI00626</t>
  </si>
  <si>
    <t>CIBI00627</t>
  </si>
  <si>
    <t>CIBI00628</t>
  </si>
  <si>
    <t>CIBI01073</t>
  </si>
  <si>
    <t>CIBI01074</t>
  </si>
  <si>
    <t>CIBI01075</t>
  </si>
  <si>
    <t>CIBI01076</t>
  </si>
  <si>
    <t>CIBI01077</t>
  </si>
  <si>
    <t>CIBI01078</t>
  </si>
  <si>
    <t>CIBI01079</t>
  </si>
  <si>
    <t>CIBI01080</t>
  </si>
  <si>
    <t>CIBI01442</t>
  </si>
  <si>
    <t>CIBI01444</t>
  </si>
  <si>
    <t>CIBI01445</t>
  </si>
  <si>
    <t>CIBI01450</t>
  </si>
  <si>
    <t>CIBI01454</t>
  </si>
  <si>
    <t>CIBI00082</t>
  </si>
  <si>
    <t>CIBI00084</t>
  </si>
  <si>
    <t>CIBI00087</t>
  </si>
  <si>
    <t>CIBI00113</t>
  </si>
  <si>
    <t>CIBI00161</t>
  </si>
  <si>
    <t>CIBI00199</t>
  </si>
  <si>
    <t>CIBI00248</t>
  </si>
  <si>
    <t>CIBI00303</t>
  </si>
  <si>
    <t>CIBI00394</t>
  </si>
  <si>
    <t>CIBI00602</t>
  </si>
  <si>
    <t>CIBI00839</t>
  </si>
  <si>
    <t>CIBI00925</t>
  </si>
  <si>
    <t>CIBI01058</t>
  </si>
  <si>
    <t>CIBI01191</t>
  </si>
  <si>
    <t>CIBI00080</t>
  </si>
  <si>
    <t>CIBI00085</t>
  </si>
  <si>
    <t>CIBI00088</t>
  </si>
  <si>
    <t>CIBI00114</t>
  </si>
  <si>
    <t>CIBI00163</t>
  </si>
  <si>
    <t>CIBI00200</t>
  </si>
  <si>
    <t>CIBI00247</t>
  </si>
  <si>
    <t>CIBI00305</t>
  </si>
  <si>
    <t>CIBI00396</t>
  </si>
  <si>
    <t>CIBI00600</t>
  </si>
  <si>
    <t>CIBI00841</t>
  </si>
  <si>
    <t>CIBI00927</t>
  </si>
  <si>
    <t>CIBI01059</t>
  </si>
  <si>
    <t>CIBI01192</t>
  </si>
  <si>
    <t>CIBI00616</t>
  </si>
  <si>
    <t>CIBI00618</t>
  </si>
  <si>
    <t>CIBI00619</t>
  </si>
  <si>
    <t>CIBI00623</t>
  </si>
  <si>
    <t>CIBI00629</t>
  </si>
  <si>
    <t>CIBI01065</t>
  </si>
  <si>
    <t>CIBI01066</t>
  </si>
  <si>
    <t>CIBI01067</t>
  </si>
  <si>
    <t>CIBI01068</t>
  </si>
  <si>
    <t>CIBI01433</t>
  </si>
  <si>
    <t>CIBI01435</t>
  </si>
  <si>
    <t>CIBI01436</t>
  </si>
  <si>
    <t>CIBI01446</t>
  </si>
  <si>
    <t>CIBI01447</t>
  </si>
  <si>
    <t>CIBI00615</t>
  </si>
  <si>
    <t>CIBI00617</t>
  </si>
  <si>
    <t>CIBI00620</t>
  </si>
  <si>
    <t>CIBI00624</t>
  </si>
  <si>
    <t>CIBI00631</t>
  </si>
  <si>
    <t>CIBI01069</t>
  </si>
  <si>
    <t>CIBI01070</t>
  </si>
  <si>
    <t>CIBI01071</t>
  </si>
  <si>
    <t>CIBI01072</t>
  </si>
  <si>
    <t>CIBI01434</t>
  </si>
  <si>
    <t>CIBI01437</t>
  </si>
  <si>
    <t>CIBI01438</t>
  </si>
  <si>
    <t>CIBI01448</t>
  </si>
  <si>
    <t>CIBI01449</t>
  </si>
  <si>
    <t>CIBI00086</t>
  </si>
  <si>
    <t>CIBI00089</t>
  </si>
  <si>
    <t>CIBI00106</t>
  </si>
  <si>
    <t>CIBI00167</t>
  </si>
  <si>
    <t>CIBI00205</t>
  </si>
  <si>
    <t>CIBI00250</t>
  </si>
  <si>
    <t>CIBI00301</t>
  </si>
  <si>
    <t>CIBI00405</t>
  </si>
  <si>
    <t>CIBI00575</t>
  </si>
  <si>
    <t>CIBI00852</t>
  </si>
  <si>
    <t>CIBI00934</t>
  </si>
  <si>
    <t>CIBI01064</t>
  </si>
  <si>
    <t>CIBI01195</t>
  </si>
  <si>
    <t>CIBI00115</t>
  </si>
  <si>
    <t>CIBI00165</t>
  </si>
  <si>
    <t>CIBI00201</t>
  </si>
  <si>
    <t>CIBI00249</t>
  </si>
  <si>
    <t>CIBI00307</t>
  </si>
  <si>
    <t>CIBI00398</t>
  </si>
  <si>
    <t>CIBI00597</t>
  </si>
  <si>
    <t>CIBI00843</t>
  </si>
  <si>
    <t>CIBI00930</t>
  </si>
  <si>
    <t>CIBI01060</t>
  </si>
  <si>
    <t>CIBI01193</t>
  </si>
  <si>
    <t>CIBI01336</t>
  </si>
  <si>
    <t>CIBI01487</t>
  </si>
  <si>
    <t>Trap B</t>
  </si>
  <si>
    <t>GMP#16994</t>
  </si>
  <si>
    <t>GMP#17042</t>
  </si>
  <si>
    <t>GMP#17050</t>
  </si>
  <si>
    <t>GMP#17054</t>
  </si>
  <si>
    <t>GMP#17058</t>
  </si>
  <si>
    <t>GMP#17062</t>
  </si>
  <si>
    <t>GMP#17066</t>
  </si>
  <si>
    <t>GMP#17070</t>
  </si>
  <si>
    <t>GMP#17074</t>
  </si>
  <si>
    <t>GMP#17078</t>
  </si>
  <si>
    <t>GMP#17082</t>
  </si>
  <si>
    <t>GMP#17087</t>
  </si>
  <si>
    <t>GMP#17091</t>
  </si>
  <si>
    <t>CIBI00215</t>
  </si>
  <si>
    <t>CIBI00216</t>
  </si>
  <si>
    <t>CIBI00217</t>
  </si>
  <si>
    <t>CIBI00218</t>
  </si>
  <si>
    <t>CIBI00219</t>
  </si>
  <si>
    <t>CIBI00635</t>
  </si>
  <si>
    <t>CIBI00636</t>
  </si>
  <si>
    <t>CIBI00767</t>
  </si>
  <si>
    <t>CIBI00943</t>
  </si>
  <si>
    <t>CIBI01106</t>
  </si>
  <si>
    <t>CIBI01165</t>
  </si>
  <si>
    <t>CIBI01208</t>
  </si>
  <si>
    <t>CIBI00347</t>
  </si>
  <si>
    <t>CIBI00491</t>
  </si>
  <si>
    <t>CIBI00495</t>
  </si>
  <si>
    <t>CIBI01006</t>
  </si>
  <si>
    <t>CIBI01011</t>
  </si>
  <si>
    <t>CIBI01012</t>
  </si>
  <si>
    <t>CIBI01018</t>
  </si>
  <si>
    <t>CIBI01021</t>
  </si>
  <si>
    <t>CIBI01680</t>
  </si>
  <si>
    <t>CIBI01684</t>
  </si>
  <si>
    <t>CIBI01686</t>
  </si>
  <si>
    <t>CIBI01887</t>
  </si>
  <si>
    <t>CIBI01888</t>
  </si>
  <si>
    <t>CIBI00202</t>
  </si>
  <si>
    <t>CIBI00246</t>
  </si>
  <si>
    <t>CIBI00309</t>
  </si>
  <si>
    <t>CIBI00401</t>
  </si>
  <si>
    <t>CIBI00583</t>
  </si>
  <si>
    <t>CIBI00845</t>
  </si>
  <si>
    <t>CIBI00932</t>
  </si>
  <si>
    <t>CIBI01063</t>
  </si>
  <si>
    <t>CIBI01194</t>
  </si>
  <si>
    <t>CIBI01334</t>
  </si>
  <si>
    <t>CIBI01345</t>
  </si>
  <si>
    <t>CIBI01384</t>
  </si>
  <si>
    <t>GMP#55427</t>
  </si>
  <si>
    <t>GMP#55431</t>
  </si>
  <si>
    <t>GMP#55435</t>
  </si>
  <si>
    <t>GMP#55439</t>
  </si>
  <si>
    <t>GMP#55444</t>
  </si>
  <si>
    <t>GMP#55448</t>
  </si>
  <si>
    <t>GMP#55452</t>
  </si>
  <si>
    <t>GMP#55457</t>
  </si>
  <si>
    <t>GMP#55461</t>
  </si>
  <si>
    <t>GMP#55466</t>
  </si>
  <si>
    <t>GMP#55470</t>
  </si>
  <si>
    <t>GMP#55474</t>
  </si>
  <si>
    <t>CIBI00031</t>
  </si>
  <si>
    <t>CIBI00033</t>
  </si>
  <si>
    <t>CIBI00125</t>
  </si>
  <si>
    <t>CIBI00650</t>
  </si>
  <si>
    <t>CIBI00652</t>
  </si>
  <si>
    <t>CIBI00654</t>
  </si>
  <si>
    <t>CIBI00656</t>
  </si>
  <si>
    <t>CIBI01211</t>
  </si>
  <si>
    <t>CIBI01213</t>
  </si>
  <si>
    <t>CIBI01215</t>
  </si>
  <si>
    <t>CIBI01217</t>
  </si>
  <si>
    <t>CIBI00037</t>
  </si>
  <si>
    <t>CIBI00135</t>
  </si>
  <si>
    <t>CIBI00538</t>
  </si>
  <si>
    <t>CIBI00540</t>
  </si>
  <si>
    <t>CIBI00542</t>
  </si>
  <si>
    <t>CIBI01150</t>
  </si>
  <si>
    <t>CIBI01152</t>
  </si>
  <si>
    <t>CIBI01154</t>
  </si>
  <si>
    <t>CIBI01156</t>
  </si>
  <si>
    <t>CIBI01158</t>
  </si>
  <si>
    <t>"</t>
  </si>
  <si>
    <t>,</t>
  </si>
  <si>
    <t>Latitude</t>
  </si>
  <si>
    <t>Longitude</t>
  </si>
  <si>
    <t>37.4078</t>
  </si>
  <si>
    <t>-122.1657</t>
  </si>
  <si>
    <t>37.262226</t>
  </si>
  <si>
    <t>-122.32655</t>
  </si>
  <si>
    <t>37.80849</t>
  </si>
  <si>
    <t>-122.14984</t>
  </si>
  <si>
    <t>37.3536</t>
  </si>
  <si>
    <t>-122.1606</t>
  </si>
  <si>
    <t>32.91992</t>
  </si>
  <si>
    <t>-117.17307</t>
  </si>
  <si>
    <t>41.38718</t>
  </si>
  <si>
    <t>-122.43082</t>
  </si>
  <si>
    <t>37.80321</t>
  </si>
  <si>
    <t>-122.14478</t>
  </si>
  <si>
    <t>37.3656</t>
  </si>
  <si>
    <t>-122.1942</t>
  </si>
  <si>
    <t>33.997196</t>
  </si>
  <si>
    <t>-119.71606</t>
  </si>
  <si>
    <t>33.239216</t>
  </si>
  <si>
    <t>-116.392624</t>
  </si>
  <si>
    <t>33.02325</t>
  </si>
  <si>
    <t>-114.61361</t>
  </si>
  <si>
    <t>32.613388</t>
  </si>
  <si>
    <t>-116.33115</t>
  </si>
  <si>
    <t>40.10132</t>
  </si>
  <si>
    <t>-122.05354</t>
  </si>
  <si>
    <t>37.38306</t>
  </si>
  <si>
    <t>-121.74291</t>
  </si>
  <si>
    <t>34.78278</t>
  </si>
  <si>
    <t>-115.65083</t>
  </si>
  <si>
    <t>33.20626</t>
  </si>
  <si>
    <t>-116.7415</t>
  </si>
  <si>
    <t>34.149</t>
  </si>
  <si>
    <t>-116.456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</si>
</sst>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Font="1" applyBorder="1"/>
    <xf numFmtId="10" fontId="0" fillId="0" borderId="1" xfId="0" applyNumberFormat="1" applyBorder="1"/>
    <xf numFmtId="0" fontId="0" fillId="0" borderId="0" xfId="0" applyFont="1"/>
    <xf numFmtId="10" fontId="0" fillId="0" borderId="0" xfId="0" applyNumberFormat="1"/>
    <xf numFmtId="0" fontId="0" fillId="0" borderId="0" xfId="0" applyBorder="1"/>
    <xf numFmtId="0" fontId="0" fillId="0" borderId="0" xfId="0" applyFont="1" applyBorder="1"/>
    <xf numFmtId="10" fontId="0" fillId="0" borderId="0" xfId="0" applyNumberFormat="1" applyBorder="1"/>
    <xf numFmtId="0" fontId="3" fillId="0" borderId="0" xfId="0" applyFont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Observed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('[1]Chao estimator'!$A$3:$A$6,'[1]Chao estimator'!$A$8:$A$19)</c:f>
              <c:strCache>
                <c:ptCount val="16"/>
                <c:pt idx="0">
                  <c:v>Silicon Valley, Stanford Academic Reserve</c:v>
                </c:pt>
                <c:pt idx="1">
                  <c:v>Pescadero Creek Rd</c:v>
                </c:pt>
                <c:pt idx="2">
                  <c:v>Reinhardt Redwood Regional Park (Redwood Grove)</c:v>
                </c:pt>
                <c:pt idx="3">
                  <c:v>Silicon Valley, Hidden Villa</c:v>
                </c:pt>
                <c:pt idx="4">
                  <c:v>Columbine Rd SW of Weed</c:v>
                </c:pt>
                <c:pt idx="5">
                  <c:v>Reinhardt Redwood Regional Park (Oak Woodland)</c:v>
                </c:pt>
                <c:pt idx="6">
                  <c:v>Silicon Valley, Foothills Park</c:v>
                </c:pt>
                <c:pt idx="7">
                  <c:v>Catalina, Harbor Blvd</c:v>
                </c:pt>
                <c:pt idx="8">
                  <c:v>Anza Borrego UC Reserve</c:v>
                </c:pt>
                <c:pt idx="9">
                  <c:v>Picacho State Park</c:v>
                </c:pt>
                <c:pt idx="10">
                  <c:v>Tierra Del Sol SDAA</c:v>
                </c:pt>
                <c:pt idx="11">
                  <c:v>Dye Creek Preserve</c:v>
                </c:pt>
                <c:pt idx="12">
                  <c:v>Blue Oak Ranch Reserve</c:v>
                </c:pt>
                <c:pt idx="13">
                  <c:v>Granite Mountains Reserve</c:v>
                </c:pt>
                <c:pt idx="14">
                  <c:v>Wheatley Ranch</c:v>
                </c:pt>
                <c:pt idx="15">
                  <c:v>Burns Pinon Ridge Reserve</c:v>
                </c:pt>
              </c:strCache>
            </c:strRef>
          </c:cat>
          <c:val>
            <c:numRef>
              <c:f>'[1]Chao estimator'!$E$3:$E$19</c:f>
              <c:numCache>
                <c:formatCode>General</c:formatCode>
                <c:ptCount val="17"/>
                <c:pt idx="0">
                  <c:v>566</c:v>
                </c:pt>
                <c:pt idx="1">
                  <c:v>878</c:v>
                </c:pt>
                <c:pt idx="2">
                  <c:v>1065</c:v>
                </c:pt>
                <c:pt idx="3">
                  <c:v>1108</c:v>
                </c:pt>
                <c:pt idx="4">
                  <c:v>1157</c:v>
                </c:pt>
                <c:pt idx="5">
                  <c:v>1352</c:v>
                </c:pt>
                <c:pt idx="6">
                  <c:v>1432</c:v>
                </c:pt>
                <c:pt idx="7">
                  <c:v>1487</c:v>
                </c:pt>
                <c:pt idx="8">
                  <c:v>1616</c:v>
                </c:pt>
                <c:pt idx="9">
                  <c:v>1751</c:v>
                </c:pt>
                <c:pt idx="10">
                  <c:v>1797</c:v>
                </c:pt>
                <c:pt idx="11">
                  <c:v>1808</c:v>
                </c:pt>
                <c:pt idx="12">
                  <c:v>1813</c:v>
                </c:pt>
                <c:pt idx="13">
                  <c:v>2108</c:v>
                </c:pt>
                <c:pt idx="14">
                  <c:v>2757</c:v>
                </c:pt>
                <c:pt idx="15">
                  <c:v>2760</c:v>
                </c:pt>
                <c:pt idx="16">
                  <c:v>4531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0-B542-A960-61C2392F549E}"/>
            </c:ext>
          </c:extLst>
        </c:ser>
        <c:ser>
          <c:idx val="0"/>
          <c:order val="1"/>
          <c:tx>
            <c:v>Estimated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'[1]Chao estimator'!$U$3:$U$19</c:f>
                <c:numCache>
                  <c:formatCode>General</c:formatCode>
                  <c:ptCount val="17"/>
                  <c:pt idx="0">
                    <c:v>180.60399999999981</c:v>
                  </c:pt>
                  <c:pt idx="1">
                    <c:v>175.94700000000012</c:v>
                  </c:pt>
                  <c:pt idx="2">
                    <c:v>149.40300000000002</c:v>
                  </c:pt>
                  <c:pt idx="3">
                    <c:v>159.23399999999992</c:v>
                  </c:pt>
                  <c:pt idx="4">
                    <c:v>170.74400000000014</c:v>
                  </c:pt>
                  <c:pt idx="5">
                    <c:v>305.71199999999999</c:v>
                  </c:pt>
                  <c:pt idx="6">
                    <c:v>168.07900000000018</c:v>
                  </c:pt>
                  <c:pt idx="7">
                    <c:v>190.81700000000001</c:v>
                  </c:pt>
                  <c:pt idx="8">
                    <c:v>115.63000000000011</c:v>
                  </c:pt>
                  <c:pt idx="9">
                    <c:v>215.37300000000005</c:v>
                  </c:pt>
                  <c:pt idx="10">
                    <c:v>133.01299999999992</c:v>
                  </c:pt>
                  <c:pt idx="11">
                    <c:v>192.18200000000024</c:v>
                  </c:pt>
                  <c:pt idx="12">
                    <c:v>148.2189999999996</c:v>
                  </c:pt>
                  <c:pt idx="13">
                    <c:v>201.87999999999965</c:v>
                  </c:pt>
                  <c:pt idx="14">
                    <c:v>228.20499999999993</c:v>
                  </c:pt>
                  <c:pt idx="15">
                    <c:v>224.51099999999951</c:v>
                  </c:pt>
                  <c:pt idx="16">
                    <c:v>194.85800000000017</c:v>
                  </c:pt>
                </c:numCache>
              </c:numRef>
            </c:plus>
            <c:minus>
              <c:numRef>
                <c:f>'[1]Chao estimator'!$T$3:$T$19</c:f>
                <c:numCache>
                  <c:formatCode>General</c:formatCode>
                  <c:ptCount val="17"/>
                  <c:pt idx="0">
                    <c:v>145.923</c:v>
                  </c:pt>
                  <c:pt idx="1">
                    <c:v>149.40200000000004</c:v>
                  </c:pt>
                  <c:pt idx="2">
                    <c:v>129.16300000000001</c:v>
                  </c:pt>
                  <c:pt idx="3">
                    <c:v>138.09800000000018</c:v>
                  </c:pt>
                  <c:pt idx="4">
                    <c:v>147.19000000000005</c:v>
                  </c:pt>
                  <c:pt idx="5">
                    <c:v>264.57099999999991</c:v>
                  </c:pt>
                  <c:pt idx="6">
                    <c:v>146.89199999999983</c:v>
                  </c:pt>
                  <c:pt idx="7">
                    <c:v>167.91199999999981</c:v>
                  </c:pt>
                  <c:pt idx="8">
                    <c:v>104.0659999999998</c:v>
                  </c:pt>
                  <c:pt idx="9">
                    <c:v>190.20200000000023</c:v>
                  </c:pt>
                  <c:pt idx="10">
                    <c:v>118.94299999999976</c:v>
                  </c:pt>
                  <c:pt idx="11">
                    <c:v>171.38000000000011</c:v>
                  </c:pt>
                  <c:pt idx="12">
                    <c:v>132.81500000000005</c:v>
                  </c:pt>
                  <c:pt idx="13">
                    <c:v>181.19800000000032</c:v>
                  </c:pt>
                  <c:pt idx="14">
                    <c:v>207.53600000000006</c:v>
                  </c:pt>
                  <c:pt idx="15">
                    <c:v>204.64699999999993</c:v>
                  </c:pt>
                  <c:pt idx="16">
                    <c:v>180.69900000000052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('[1]Chao estimator'!$A$3:$A$6,'[1]Chao estimator'!$A$8:$A$19)</c:f>
              <c:strCache>
                <c:ptCount val="16"/>
                <c:pt idx="0">
                  <c:v>Silicon Valley, Stanford Academic Reserve</c:v>
                </c:pt>
                <c:pt idx="1">
                  <c:v>Pescadero Creek Rd</c:v>
                </c:pt>
                <c:pt idx="2">
                  <c:v>Reinhardt Redwood Regional Park (Redwood Grove)</c:v>
                </c:pt>
                <c:pt idx="3">
                  <c:v>Silicon Valley, Hidden Villa</c:v>
                </c:pt>
                <c:pt idx="4">
                  <c:v>Columbine Rd SW of Weed</c:v>
                </c:pt>
                <c:pt idx="5">
                  <c:v>Reinhardt Redwood Regional Park (Oak Woodland)</c:v>
                </c:pt>
                <c:pt idx="6">
                  <c:v>Silicon Valley, Foothills Park</c:v>
                </c:pt>
                <c:pt idx="7">
                  <c:v>Catalina, Harbor Blvd</c:v>
                </c:pt>
                <c:pt idx="8">
                  <c:v>Anza Borrego UC Reserve</c:v>
                </c:pt>
                <c:pt idx="9">
                  <c:v>Picacho State Park</c:v>
                </c:pt>
                <c:pt idx="10">
                  <c:v>Tierra Del Sol SDAA</c:v>
                </c:pt>
                <c:pt idx="11">
                  <c:v>Dye Creek Preserve</c:v>
                </c:pt>
                <c:pt idx="12">
                  <c:v>Blue Oak Ranch Reserve</c:v>
                </c:pt>
                <c:pt idx="13">
                  <c:v>Granite Mountains Reserve</c:v>
                </c:pt>
                <c:pt idx="14">
                  <c:v>Wheatley Ranch</c:v>
                </c:pt>
                <c:pt idx="15">
                  <c:v>Burns Pinon Ridge Reserve</c:v>
                </c:pt>
              </c:strCache>
            </c:strRef>
          </c:cat>
          <c:val>
            <c:numRef>
              <c:f>'[1]Chao estimator'!$P$3:$P$19</c:f>
              <c:numCache>
                <c:formatCode>General</c:formatCode>
                <c:ptCount val="17"/>
                <c:pt idx="0">
                  <c:v>1325.91</c:v>
                </c:pt>
                <c:pt idx="1">
                  <c:v>1868.309</c:v>
                </c:pt>
                <c:pt idx="2">
                  <c:v>2018.423</c:v>
                </c:pt>
                <c:pt idx="3">
                  <c:v>2148.3580000000002</c:v>
                </c:pt>
                <c:pt idx="4">
                  <c:v>2224.011</c:v>
                </c:pt>
                <c:pt idx="5">
                  <c:v>3317.9969999999998</c:v>
                </c:pt>
                <c:pt idx="6">
                  <c:v>2597.3209999999999</c:v>
                </c:pt>
                <c:pt idx="7">
                  <c:v>2885.855</c:v>
                </c:pt>
                <c:pt idx="8">
                  <c:v>2656.6619999999998</c:v>
                </c:pt>
                <c:pt idx="9">
                  <c:v>3378.489</c:v>
                </c:pt>
                <c:pt idx="10">
                  <c:v>2921.444</c:v>
                </c:pt>
                <c:pt idx="11">
                  <c:v>3391.319</c:v>
                </c:pt>
                <c:pt idx="12">
                  <c:v>3091.0210000000002</c:v>
                </c:pt>
                <c:pt idx="13">
                  <c:v>3876.6480000000001</c:v>
                </c:pt>
                <c:pt idx="14">
                  <c:v>5048.34</c:v>
                </c:pt>
                <c:pt idx="15">
                  <c:v>5073.0240000000003</c:v>
                </c:pt>
                <c:pt idx="16">
                  <c:v>7017.6170000000002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0-B542-A960-61C2392F5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3321903"/>
        <c:axId val="1399058160"/>
      </c:barChart>
      <c:lineChart>
        <c:grouping val="standard"/>
        <c:varyColors val="0"/>
        <c:ser>
          <c:idx val="2"/>
          <c:order val="2"/>
          <c:tx>
            <c:v>Percent complete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'[1]Chao estimator'!$V$3:$V$19</c:f>
              <c:numCache>
                <c:formatCode>0.00%</c:formatCode>
                <c:ptCount val="17"/>
                <c:pt idx="0">
                  <c:v>0.42687663566908762</c:v>
                </c:pt>
                <c:pt idx="1">
                  <c:v>0.4699436763404769</c:v>
                </c:pt>
                <c:pt idx="2">
                  <c:v>0.52763964738808466</c:v>
                </c:pt>
                <c:pt idx="3">
                  <c:v>0.51574272071973104</c:v>
                </c:pt>
                <c:pt idx="4">
                  <c:v>0.52023123986347186</c:v>
                </c:pt>
                <c:pt idx="5">
                  <c:v>0.40747475057994326</c:v>
                </c:pt>
                <c:pt idx="6">
                  <c:v>0.55133732026191606</c:v>
                </c:pt>
                <c:pt idx="7">
                  <c:v>0.51527190382053156</c:v>
                </c:pt>
                <c:pt idx="8">
                  <c:v>0.6082821224529128</c:v>
                </c:pt>
                <c:pt idx="9">
                  <c:v>0.51827902947145899</c:v>
                </c:pt>
                <c:pt idx="10">
                  <c:v>0.61510677596421492</c:v>
                </c:pt>
                <c:pt idx="11">
                  <c:v>0.53312590175091168</c:v>
                </c:pt>
                <c:pt idx="12">
                  <c:v>0.58653758741852613</c:v>
                </c:pt>
                <c:pt idx="13">
                  <c:v>0.54376874041697876</c:v>
                </c:pt>
                <c:pt idx="14">
                  <c:v>0.54612011076908451</c:v>
                </c:pt>
                <c:pt idx="15">
                  <c:v>0.54405419725985915</c:v>
                </c:pt>
                <c:pt idx="16">
                  <c:v>0.64566077060061844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A0-B542-A960-61C2392F5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261120"/>
        <c:axId val="1419259424"/>
      </c:lineChart>
      <c:catAx>
        <c:axId val="42332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58160"/>
        <c:crosses val="autoZero"/>
        <c:auto val="1"/>
        <c:lblAlgn val="ctr"/>
        <c:lblOffset val="100"/>
        <c:noMultiLvlLbl val="0"/>
      </c:catAx>
      <c:valAx>
        <c:axId val="13990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21903"/>
        <c:crosses val="autoZero"/>
        <c:crossBetween val="between"/>
      </c:valAx>
      <c:valAx>
        <c:axId val="1419259424"/>
        <c:scaling>
          <c:orientation val="minMax"/>
          <c:max val="1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261120"/>
        <c:crosses val="max"/>
        <c:crossBetween val="between"/>
      </c:valAx>
      <c:catAx>
        <c:axId val="1419261120"/>
        <c:scaling>
          <c:orientation val="minMax"/>
        </c:scaling>
        <c:delete val="1"/>
        <c:axPos val="b"/>
        <c:majorTickMark val="out"/>
        <c:minorTickMark val="none"/>
        <c:tickLblPos val="nextTo"/>
        <c:crossAx val="1419259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368300</xdr:colOff>
      <xdr:row>2</xdr:row>
      <xdr:rowOff>177800</xdr:rowOff>
    </xdr:from>
    <xdr:to>
      <xdr:col>35</xdr:col>
      <xdr:colOff>177800</xdr:colOff>
      <xdr:row>30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FDA7B-92F1-F04B-ABAE-0B48D9DC7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IBI_Biodiversity_Manuscript/250626_BOLD_data_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data"/>
      <sheetName val="Unique BINs"/>
      <sheetName val="Level of Identification"/>
      <sheetName val="BINs per Order"/>
      <sheetName val="Specimens per BIN"/>
      <sheetName val="BINs per ecoregion"/>
      <sheetName val="Number of L4 Ecoregions"/>
      <sheetName val="Corrected collection effort"/>
      <sheetName val="Observatory site count"/>
      <sheetName val="Chao estimator"/>
      <sheetName val="Snapshot site count"/>
      <sheetName val="Collecting Methods"/>
      <sheetName val="MT trap hours"/>
      <sheetName val="Top BINs per Order"/>
      <sheetName val="Seasonal bias"/>
      <sheetName val="Collector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3" t="str">
            <v>Silicon Valley, Stanford Academic Reserve</v>
          </cell>
          <cell r="E3">
            <v>566</v>
          </cell>
          <cell r="P3">
            <v>1325.91</v>
          </cell>
          <cell r="T3">
            <v>145.923</v>
          </cell>
          <cell r="U3">
            <v>180.60399999999981</v>
          </cell>
          <cell r="V3">
            <v>0.42687663566908762</v>
          </cell>
        </row>
        <row r="4">
          <cell r="A4" t="str">
            <v>Pescadero Creek Rd</v>
          </cell>
          <cell r="E4">
            <v>878</v>
          </cell>
          <cell r="P4">
            <v>1868.309</v>
          </cell>
          <cell r="T4">
            <v>149.40200000000004</v>
          </cell>
          <cell r="U4">
            <v>175.94700000000012</v>
          </cell>
          <cell r="V4">
            <v>0.4699436763404769</v>
          </cell>
        </row>
        <row r="5">
          <cell r="A5" t="str">
            <v>Reinhardt Redwood Regional Park (Redwood Grove)</v>
          </cell>
          <cell r="E5">
            <v>1065</v>
          </cell>
          <cell r="P5">
            <v>2018.423</v>
          </cell>
          <cell r="T5">
            <v>129.16300000000001</v>
          </cell>
          <cell r="U5">
            <v>149.40300000000002</v>
          </cell>
          <cell r="V5">
            <v>0.52763964738808466</v>
          </cell>
        </row>
        <row r="6">
          <cell r="A6" t="str">
            <v>Silicon Valley, Hidden Villa</v>
          </cell>
          <cell r="E6">
            <v>1108</v>
          </cell>
          <cell r="P6">
            <v>2148.3580000000002</v>
          </cell>
          <cell r="T6">
            <v>138.09800000000018</v>
          </cell>
          <cell r="U6">
            <v>159.23399999999992</v>
          </cell>
          <cell r="V6">
            <v>0.51574272071973104</v>
          </cell>
        </row>
        <row r="7">
          <cell r="E7">
            <v>1157</v>
          </cell>
          <cell r="P7">
            <v>2224.011</v>
          </cell>
          <cell r="T7">
            <v>147.19000000000005</v>
          </cell>
          <cell r="U7">
            <v>170.74400000000014</v>
          </cell>
          <cell r="V7">
            <v>0.52023123986347186</v>
          </cell>
        </row>
        <row r="8">
          <cell r="A8" t="str">
            <v>Columbine Rd SW of Weed</v>
          </cell>
          <cell r="E8">
            <v>1352</v>
          </cell>
          <cell r="P8">
            <v>3317.9969999999998</v>
          </cell>
          <cell r="T8">
            <v>264.57099999999991</v>
          </cell>
          <cell r="U8">
            <v>305.71199999999999</v>
          </cell>
          <cell r="V8">
            <v>0.40747475057994326</v>
          </cell>
        </row>
        <row r="9">
          <cell r="A9" t="str">
            <v>Reinhardt Redwood Regional Park (Oak Woodland)</v>
          </cell>
          <cell r="E9">
            <v>1432</v>
          </cell>
          <cell r="P9">
            <v>2597.3209999999999</v>
          </cell>
          <cell r="T9">
            <v>146.89199999999983</v>
          </cell>
          <cell r="U9">
            <v>168.07900000000018</v>
          </cell>
          <cell r="V9">
            <v>0.55133732026191606</v>
          </cell>
        </row>
        <row r="10">
          <cell r="A10" t="str">
            <v>Silicon Valley, Foothills Park</v>
          </cell>
          <cell r="E10">
            <v>1487</v>
          </cell>
          <cell r="P10">
            <v>2885.855</v>
          </cell>
          <cell r="T10">
            <v>167.91199999999981</v>
          </cell>
          <cell r="U10">
            <v>190.81700000000001</v>
          </cell>
          <cell r="V10">
            <v>0.51527190382053156</v>
          </cell>
        </row>
        <row r="11">
          <cell r="A11" t="str">
            <v>Catalina, Harbor Blvd</v>
          </cell>
          <cell r="E11">
            <v>1616</v>
          </cell>
          <cell r="P11">
            <v>2656.6619999999998</v>
          </cell>
          <cell r="T11">
            <v>104.0659999999998</v>
          </cell>
          <cell r="U11">
            <v>115.63000000000011</v>
          </cell>
          <cell r="V11">
            <v>0.6082821224529128</v>
          </cell>
        </row>
        <row r="12">
          <cell r="A12" t="str">
            <v>Anza Borrego UC Reserve</v>
          </cell>
          <cell r="E12">
            <v>1751</v>
          </cell>
          <cell r="P12">
            <v>3378.489</v>
          </cell>
          <cell r="T12">
            <v>190.20200000000023</v>
          </cell>
          <cell r="U12">
            <v>215.37300000000005</v>
          </cell>
          <cell r="V12">
            <v>0.51827902947145899</v>
          </cell>
        </row>
        <row r="13">
          <cell r="A13" t="str">
            <v>Picacho State Park</v>
          </cell>
          <cell r="E13">
            <v>1797</v>
          </cell>
          <cell r="P13">
            <v>2921.444</v>
          </cell>
          <cell r="T13">
            <v>118.94299999999976</v>
          </cell>
          <cell r="U13">
            <v>133.01299999999992</v>
          </cell>
          <cell r="V13">
            <v>0.61510677596421492</v>
          </cell>
        </row>
        <row r="14">
          <cell r="A14" t="str">
            <v>Tierra Del Sol SDAA</v>
          </cell>
          <cell r="E14">
            <v>1808</v>
          </cell>
          <cell r="P14">
            <v>3391.319</v>
          </cell>
          <cell r="T14">
            <v>171.38000000000011</v>
          </cell>
          <cell r="U14">
            <v>192.18200000000024</v>
          </cell>
          <cell r="V14">
            <v>0.53312590175091168</v>
          </cell>
        </row>
        <row r="15">
          <cell r="A15" t="str">
            <v>Dye Creek Preserve</v>
          </cell>
          <cell r="E15">
            <v>1813</v>
          </cell>
          <cell r="P15">
            <v>3091.0210000000002</v>
          </cell>
          <cell r="T15">
            <v>132.81500000000005</v>
          </cell>
          <cell r="U15">
            <v>148.2189999999996</v>
          </cell>
          <cell r="V15">
            <v>0.58653758741852613</v>
          </cell>
        </row>
        <row r="16">
          <cell r="A16" t="str">
            <v>Blue Oak Ranch Reserve</v>
          </cell>
          <cell r="E16">
            <v>2108</v>
          </cell>
          <cell r="P16">
            <v>3876.6480000000001</v>
          </cell>
          <cell r="T16">
            <v>181.19800000000032</v>
          </cell>
          <cell r="U16">
            <v>201.87999999999965</v>
          </cell>
          <cell r="V16">
            <v>0.54376874041697876</v>
          </cell>
        </row>
        <row r="17">
          <cell r="A17" t="str">
            <v>Granite Mountains Reserve</v>
          </cell>
          <cell r="E17">
            <v>2757</v>
          </cell>
          <cell r="P17">
            <v>5048.34</v>
          </cell>
          <cell r="T17">
            <v>207.53600000000006</v>
          </cell>
          <cell r="U17">
            <v>228.20499999999993</v>
          </cell>
          <cell r="V17">
            <v>0.54612011076908451</v>
          </cell>
        </row>
        <row r="18">
          <cell r="A18" t="str">
            <v>Wheatley Ranch</v>
          </cell>
          <cell r="E18">
            <v>2760</v>
          </cell>
          <cell r="P18">
            <v>5073.0240000000003</v>
          </cell>
          <cell r="T18">
            <v>204.64699999999993</v>
          </cell>
          <cell r="U18">
            <v>224.51099999999951</v>
          </cell>
          <cell r="V18">
            <v>0.54405419725985915</v>
          </cell>
        </row>
        <row r="19">
          <cell r="A19" t="str">
            <v>Burns Pinon Ridge Reserve</v>
          </cell>
          <cell r="E19">
            <v>4531</v>
          </cell>
          <cell r="P19">
            <v>7017.6170000000002</v>
          </cell>
          <cell r="T19">
            <v>180.69900000000052</v>
          </cell>
          <cell r="U19">
            <v>194.85800000000017</v>
          </cell>
          <cell r="V19">
            <v>0.64566077060061844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B281-6B06-0F40-8BD3-629C2BABFD36}">
  <dimension ref="A1:Y62"/>
  <sheetViews>
    <sheetView tabSelected="1" topLeftCell="M1" workbookViewId="0">
      <selection activeCell="W26" sqref="W26"/>
    </sheetView>
  </sheetViews>
  <sheetFormatPr baseColWidth="10" defaultRowHeight="16" x14ac:dyDescent="0.2"/>
  <cols>
    <col min="1" max="1" width="40.83203125" bestFit="1" customWidth="1"/>
  </cols>
  <sheetData>
    <row r="1" spans="1:24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319</v>
      </c>
      <c r="X1" s="1" t="s">
        <v>320</v>
      </c>
    </row>
    <row r="2" spans="1:24" s="1" customFormat="1" ht="15" x14ac:dyDescent="0.2"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</row>
    <row r="3" spans="1:24" s="2" customFormat="1" x14ac:dyDescent="0.2">
      <c r="A3" s="2" t="s">
        <v>34</v>
      </c>
      <c r="B3" s="2">
        <v>18</v>
      </c>
      <c r="C3" s="3">
        <v>17</v>
      </c>
      <c r="D3" s="2">
        <v>4993</v>
      </c>
      <c r="E3" s="2">
        <v>566</v>
      </c>
      <c r="F3" s="2">
        <v>0.93700000000000006</v>
      </c>
      <c r="G3" s="2">
        <v>6.0549999999999997</v>
      </c>
      <c r="H3" s="2">
        <v>10</v>
      </c>
      <c r="I3" s="2">
        <v>984</v>
      </c>
      <c r="J3" s="2">
        <v>503</v>
      </c>
      <c r="K3" s="2">
        <v>0.68</v>
      </c>
      <c r="L3" s="2">
        <v>0.94199999999999995</v>
      </c>
      <c r="M3" s="2">
        <v>1.3919999999999999</v>
      </c>
      <c r="N3" s="2">
        <v>4009</v>
      </c>
      <c r="O3" s="2">
        <v>63</v>
      </c>
      <c r="P3" s="2">
        <v>1325.91</v>
      </c>
      <c r="Q3" s="2">
        <v>82.915999999999997</v>
      </c>
      <c r="R3" s="2">
        <v>1179.9870000000001</v>
      </c>
      <c r="S3" s="2">
        <v>1506.5139999999999</v>
      </c>
      <c r="T3" s="2">
        <f t="shared" ref="T3:T19" si="0">P3-R3</f>
        <v>145.923</v>
      </c>
      <c r="U3" s="2">
        <f t="shared" ref="U3:U19" si="1">S3-P3</f>
        <v>180.60399999999981</v>
      </c>
      <c r="V3" s="4">
        <f t="shared" ref="V3:V19" si="2">E3/P3</f>
        <v>0.42687663566908762</v>
      </c>
      <c r="W3" t="s">
        <v>321</v>
      </c>
      <c r="X3" t="s">
        <v>322</v>
      </c>
    </row>
    <row r="4" spans="1:24" x14ac:dyDescent="0.2">
      <c r="A4" t="s">
        <v>35</v>
      </c>
      <c r="B4">
        <v>12</v>
      </c>
      <c r="C4" s="5">
        <v>12</v>
      </c>
      <c r="D4">
        <v>5103</v>
      </c>
      <c r="E4">
        <v>878</v>
      </c>
      <c r="F4">
        <v>0.90400000000000003</v>
      </c>
      <c r="G4">
        <v>5.2389999999999999</v>
      </c>
      <c r="H4">
        <v>10</v>
      </c>
      <c r="I4">
        <v>1670</v>
      </c>
      <c r="J4">
        <v>811</v>
      </c>
      <c r="K4">
        <v>0.70699999999999996</v>
      </c>
      <c r="L4">
        <v>0.95699999999999996</v>
      </c>
      <c r="M4">
        <v>1.4059999999999999</v>
      </c>
      <c r="N4">
        <v>3433</v>
      </c>
      <c r="O4">
        <v>67</v>
      </c>
      <c r="P4">
        <v>1868.309</v>
      </c>
      <c r="Q4">
        <v>82.774000000000001</v>
      </c>
      <c r="R4">
        <v>1718.9069999999999</v>
      </c>
      <c r="S4">
        <v>2044.2560000000001</v>
      </c>
      <c r="T4">
        <f t="shared" si="0"/>
        <v>149.40200000000004</v>
      </c>
      <c r="U4">
        <f t="shared" si="1"/>
        <v>175.94700000000012</v>
      </c>
      <c r="V4" s="6">
        <f t="shared" si="2"/>
        <v>0.4699436763404769</v>
      </c>
      <c r="W4" t="s">
        <v>323</v>
      </c>
      <c r="X4" t="s">
        <v>324</v>
      </c>
    </row>
    <row r="5" spans="1:24" x14ac:dyDescent="0.2">
      <c r="A5" t="s">
        <v>36</v>
      </c>
      <c r="B5">
        <v>14</v>
      </c>
      <c r="C5" s="5">
        <v>13</v>
      </c>
      <c r="D5">
        <v>8482</v>
      </c>
      <c r="E5">
        <v>1065</v>
      </c>
      <c r="F5">
        <v>0.93799999999999994</v>
      </c>
      <c r="G5">
        <v>5.3220000000000001</v>
      </c>
      <c r="H5">
        <v>10</v>
      </c>
      <c r="I5">
        <v>2102</v>
      </c>
      <c r="J5">
        <v>948</v>
      </c>
      <c r="K5">
        <v>0.748</v>
      </c>
      <c r="L5">
        <v>0.91900000000000004</v>
      </c>
      <c r="M5">
        <v>1.3080000000000001</v>
      </c>
      <c r="N5">
        <v>6380</v>
      </c>
      <c r="O5">
        <v>117</v>
      </c>
      <c r="P5">
        <v>2018.423</v>
      </c>
      <c r="Q5">
        <v>70.912000000000006</v>
      </c>
      <c r="R5">
        <v>1889.26</v>
      </c>
      <c r="S5">
        <v>2167.826</v>
      </c>
      <c r="T5">
        <f t="shared" si="0"/>
        <v>129.16300000000001</v>
      </c>
      <c r="U5">
        <f t="shared" si="1"/>
        <v>149.40300000000002</v>
      </c>
      <c r="V5" s="6">
        <f t="shared" si="2"/>
        <v>0.52763964738808466</v>
      </c>
      <c r="W5" t="s">
        <v>325</v>
      </c>
      <c r="X5" t="s">
        <v>326</v>
      </c>
    </row>
    <row r="6" spans="1:24" x14ac:dyDescent="0.2">
      <c r="A6" t="s">
        <v>37</v>
      </c>
      <c r="B6">
        <v>22</v>
      </c>
      <c r="C6" s="5">
        <v>15</v>
      </c>
      <c r="D6">
        <v>9784</v>
      </c>
      <c r="E6">
        <v>1108</v>
      </c>
      <c r="F6">
        <v>0.94399999999999995</v>
      </c>
      <c r="G6">
        <v>7.16</v>
      </c>
      <c r="H6">
        <v>10</v>
      </c>
      <c r="I6">
        <v>2195</v>
      </c>
      <c r="J6">
        <v>998</v>
      </c>
      <c r="K6">
        <v>0.75</v>
      </c>
      <c r="L6">
        <v>0.86099999999999999</v>
      </c>
      <c r="M6">
        <v>1.204</v>
      </c>
      <c r="N6">
        <v>7589</v>
      </c>
      <c r="O6">
        <v>110</v>
      </c>
      <c r="P6">
        <v>2148.3580000000002</v>
      </c>
      <c r="Q6">
        <v>75.694999999999993</v>
      </c>
      <c r="R6">
        <v>2010.26</v>
      </c>
      <c r="S6">
        <v>2307.5920000000001</v>
      </c>
      <c r="T6">
        <f t="shared" si="0"/>
        <v>138.09800000000018</v>
      </c>
      <c r="U6">
        <f t="shared" si="1"/>
        <v>159.23399999999992</v>
      </c>
      <c r="V6" s="6">
        <f t="shared" si="2"/>
        <v>0.51574272071973104</v>
      </c>
      <c r="W6" t="s">
        <v>327</v>
      </c>
      <c r="X6" t="s">
        <v>328</v>
      </c>
    </row>
    <row r="7" spans="1:24" x14ac:dyDescent="0.2">
      <c r="A7" t="s">
        <v>38</v>
      </c>
      <c r="B7">
        <v>14</v>
      </c>
      <c r="C7" s="5">
        <v>12</v>
      </c>
      <c r="D7">
        <v>7609</v>
      </c>
      <c r="E7">
        <v>1157</v>
      </c>
      <c r="F7">
        <v>0.92300000000000004</v>
      </c>
      <c r="G7">
        <v>5.6429999999999998</v>
      </c>
      <c r="H7">
        <v>10</v>
      </c>
      <c r="I7">
        <v>2362</v>
      </c>
      <c r="J7">
        <v>1049</v>
      </c>
      <c r="K7">
        <v>0.752</v>
      </c>
      <c r="L7">
        <v>0.89100000000000001</v>
      </c>
      <c r="M7">
        <v>1.26</v>
      </c>
      <c r="N7">
        <v>5247</v>
      </c>
      <c r="O7">
        <v>108</v>
      </c>
      <c r="P7">
        <v>2224.011</v>
      </c>
      <c r="Q7">
        <v>80.926000000000002</v>
      </c>
      <c r="R7">
        <v>2076.8209999999999</v>
      </c>
      <c r="S7">
        <v>2394.7550000000001</v>
      </c>
      <c r="T7">
        <f t="shared" si="0"/>
        <v>147.19000000000005</v>
      </c>
      <c r="U7">
        <f t="shared" si="1"/>
        <v>170.74400000000014</v>
      </c>
      <c r="V7" s="6">
        <f t="shared" si="2"/>
        <v>0.52023123986347186</v>
      </c>
      <c r="W7" t="s">
        <v>329</v>
      </c>
      <c r="X7" t="s">
        <v>330</v>
      </c>
    </row>
    <row r="8" spans="1:24" x14ac:dyDescent="0.2">
      <c r="A8" t="s">
        <v>39</v>
      </c>
      <c r="B8">
        <v>17</v>
      </c>
      <c r="C8" s="5">
        <v>14</v>
      </c>
      <c r="D8">
        <v>6096</v>
      </c>
      <c r="E8">
        <v>1352</v>
      </c>
      <c r="F8">
        <v>0.86899999999999999</v>
      </c>
      <c r="G8">
        <v>5.0430000000000001</v>
      </c>
      <c r="H8">
        <v>10</v>
      </c>
      <c r="I8">
        <v>2529</v>
      </c>
      <c r="J8">
        <v>1262</v>
      </c>
      <c r="K8">
        <v>0.68500000000000005</v>
      </c>
      <c r="L8">
        <v>0.97699999999999998</v>
      </c>
      <c r="M8">
        <v>1.46</v>
      </c>
      <c r="N8">
        <v>3567</v>
      </c>
      <c r="O8">
        <v>90</v>
      </c>
      <c r="P8">
        <v>3317.9969999999998</v>
      </c>
      <c r="Q8">
        <v>145.17500000000001</v>
      </c>
      <c r="R8">
        <v>3053.4259999999999</v>
      </c>
      <c r="S8">
        <v>3623.7089999999998</v>
      </c>
      <c r="T8">
        <f t="shared" si="0"/>
        <v>264.57099999999991</v>
      </c>
      <c r="U8">
        <f t="shared" si="1"/>
        <v>305.71199999999999</v>
      </c>
      <c r="V8" s="6">
        <f t="shared" si="2"/>
        <v>0.40747475057994326</v>
      </c>
      <c r="W8" t="s">
        <v>331</v>
      </c>
      <c r="X8" t="s">
        <v>332</v>
      </c>
    </row>
    <row r="9" spans="1:24" x14ac:dyDescent="0.2">
      <c r="A9" t="s">
        <v>40</v>
      </c>
      <c r="B9">
        <v>14</v>
      </c>
      <c r="C9" s="5">
        <v>12</v>
      </c>
      <c r="D9">
        <v>13213</v>
      </c>
      <c r="E9">
        <v>1432</v>
      </c>
      <c r="F9">
        <v>0.94899999999999995</v>
      </c>
      <c r="G9">
        <v>7.173</v>
      </c>
      <c r="H9">
        <v>10</v>
      </c>
      <c r="I9">
        <v>2926</v>
      </c>
      <c r="J9">
        <v>1249</v>
      </c>
      <c r="K9">
        <v>0.77200000000000002</v>
      </c>
      <c r="L9">
        <v>0.86499999999999999</v>
      </c>
      <c r="M9">
        <v>1.2030000000000001</v>
      </c>
      <c r="N9">
        <v>10287</v>
      </c>
      <c r="O9">
        <v>183</v>
      </c>
      <c r="P9">
        <v>2597.3209999999999</v>
      </c>
      <c r="Q9">
        <v>80.203000000000003</v>
      </c>
      <c r="R9">
        <v>2450.4290000000001</v>
      </c>
      <c r="S9">
        <v>2765.4</v>
      </c>
      <c r="T9">
        <f t="shared" si="0"/>
        <v>146.89199999999983</v>
      </c>
      <c r="U9">
        <f t="shared" si="1"/>
        <v>168.07900000000018</v>
      </c>
      <c r="V9" s="6">
        <f t="shared" si="2"/>
        <v>0.55133732026191606</v>
      </c>
      <c r="W9" t="s">
        <v>333</v>
      </c>
      <c r="X9" t="s">
        <v>334</v>
      </c>
    </row>
    <row r="10" spans="1:24" x14ac:dyDescent="0.2">
      <c r="A10" s="7" t="s">
        <v>41</v>
      </c>
      <c r="B10" s="7">
        <v>24</v>
      </c>
      <c r="C10" s="8">
        <v>22</v>
      </c>
      <c r="D10" s="7">
        <v>20397</v>
      </c>
      <c r="E10" s="7">
        <v>1487</v>
      </c>
      <c r="F10" s="7">
        <v>0.96499999999999997</v>
      </c>
      <c r="G10" s="7">
        <v>8.1669999999999998</v>
      </c>
      <c r="H10" s="7">
        <v>10</v>
      </c>
      <c r="I10" s="7">
        <v>3097</v>
      </c>
      <c r="J10" s="7">
        <v>1322</v>
      </c>
      <c r="K10" s="7">
        <v>0.76600000000000001</v>
      </c>
      <c r="L10" s="7">
        <v>0.91600000000000004</v>
      </c>
      <c r="M10" s="7">
        <v>1.2969999999999999</v>
      </c>
      <c r="N10" s="7">
        <v>17300</v>
      </c>
      <c r="O10" s="7">
        <v>165</v>
      </c>
      <c r="P10" s="7">
        <v>2885.855</v>
      </c>
      <c r="Q10" s="7">
        <v>91.361999999999995</v>
      </c>
      <c r="R10" s="7">
        <v>2717.9430000000002</v>
      </c>
      <c r="S10" s="7">
        <v>3076.672</v>
      </c>
      <c r="T10">
        <f t="shared" si="0"/>
        <v>167.91199999999981</v>
      </c>
      <c r="U10">
        <f t="shared" si="1"/>
        <v>190.81700000000001</v>
      </c>
      <c r="V10" s="6">
        <f t="shared" si="2"/>
        <v>0.51527190382053156</v>
      </c>
      <c r="W10" t="s">
        <v>335</v>
      </c>
      <c r="X10" t="s">
        <v>336</v>
      </c>
    </row>
    <row r="11" spans="1:24" x14ac:dyDescent="0.2">
      <c r="A11" t="s">
        <v>42</v>
      </c>
      <c r="B11">
        <v>13</v>
      </c>
      <c r="C11" s="5">
        <v>13</v>
      </c>
      <c r="D11">
        <v>15203</v>
      </c>
      <c r="E11">
        <v>1616</v>
      </c>
      <c r="F11">
        <v>0.95399999999999996</v>
      </c>
      <c r="G11">
        <v>6.8159999999999998</v>
      </c>
      <c r="H11">
        <v>10</v>
      </c>
      <c r="I11">
        <v>3410</v>
      </c>
      <c r="J11">
        <v>1402</v>
      </c>
      <c r="K11">
        <v>0.79600000000000004</v>
      </c>
      <c r="L11">
        <v>0.83899999999999997</v>
      </c>
      <c r="M11">
        <v>1.139</v>
      </c>
      <c r="N11">
        <v>11793</v>
      </c>
      <c r="O11">
        <v>214</v>
      </c>
      <c r="P11">
        <v>2656.6619999999998</v>
      </c>
      <c r="Q11">
        <v>55.982999999999997</v>
      </c>
      <c r="R11">
        <v>2552.596</v>
      </c>
      <c r="S11">
        <v>2772.2919999999999</v>
      </c>
      <c r="T11">
        <f t="shared" si="0"/>
        <v>104.0659999999998</v>
      </c>
      <c r="U11">
        <f t="shared" si="1"/>
        <v>115.63000000000011</v>
      </c>
      <c r="V11" s="6">
        <f t="shared" si="2"/>
        <v>0.6082821224529128</v>
      </c>
      <c r="W11" t="s">
        <v>337</v>
      </c>
      <c r="X11" t="s">
        <v>338</v>
      </c>
    </row>
    <row r="12" spans="1:24" x14ac:dyDescent="0.2">
      <c r="A12" t="s">
        <v>43</v>
      </c>
      <c r="B12">
        <v>13</v>
      </c>
      <c r="C12" s="5">
        <v>12</v>
      </c>
      <c r="D12">
        <v>14780</v>
      </c>
      <c r="E12">
        <v>1751</v>
      </c>
      <c r="F12">
        <v>0.94299999999999995</v>
      </c>
      <c r="G12">
        <v>5.6</v>
      </c>
      <c r="H12">
        <v>10</v>
      </c>
      <c r="I12">
        <v>3523</v>
      </c>
      <c r="J12">
        <v>1524</v>
      </c>
      <c r="K12">
        <v>0.76100000000000001</v>
      </c>
      <c r="L12">
        <v>0.91</v>
      </c>
      <c r="M12">
        <v>1.29</v>
      </c>
      <c r="N12">
        <v>11257</v>
      </c>
      <c r="O12">
        <v>227</v>
      </c>
      <c r="P12">
        <v>3378.489</v>
      </c>
      <c r="Q12">
        <v>103.303</v>
      </c>
      <c r="R12">
        <v>3188.2869999999998</v>
      </c>
      <c r="S12">
        <v>3593.8620000000001</v>
      </c>
      <c r="T12">
        <f t="shared" si="0"/>
        <v>190.20200000000023</v>
      </c>
      <c r="U12">
        <f t="shared" si="1"/>
        <v>215.37300000000005</v>
      </c>
      <c r="V12" s="6">
        <f t="shared" si="2"/>
        <v>0.51827902947145899</v>
      </c>
      <c r="W12" t="s">
        <v>339</v>
      </c>
      <c r="X12" t="s">
        <v>340</v>
      </c>
    </row>
    <row r="13" spans="1:24" x14ac:dyDescent="0.2">
      <c r="A13" t="s">
        <v>44</v>
      </c>
      <c r="B13">
        <v>12</v>
      </c>
      <c r="C13" s="5">
        <v>12</v>
      </c>
      <c r="D13">
        <v>31533</v>
      </c>
      <c r="E13">
        <v>1797</v>
      </c>
      <c r="F13">
        <v>0.97699999999999998</v>
      </c>
      <c r="G13">
        <v>7.1260000000000003</v>
      </c>
      <c r="H13">
        <v>10</v>
      </c>
      <c r="I13">
        <v>3725</v>
      </c>
      <c r="J13">
        <v>1472</v>
      </c>
      <c r="K13">
        <v>0.80900000000000005</v>
      </c>
      <c r="L13">
        <v>0.83299999999999996</v>
      </c>
      <c r="M13">
        <v>1.1240000000000001</v>
      </c>
      <c r="N13">
        <v>27808</v>
      </c>
      <c r="O13">
        <v>325</v>
      </c>
      <c r="P13">
        <v>2921.444</v>
      </c>
      <c r="Q13">
        <v>64.194000000000003</v>
      </c>
      <c r="R13">
        <v>2802.5010000000002</v>
      </c>
      <c r="S13">
        <v>3054.4569999999999</v>
      </c>
      <c r="T13">
        <f t="shared" si="0"/>
        <v>118.94299999999976</v>
      </c>
      <c r="U13">
        <f t="shared" si="1"/>
        <v>133.01299999999992</v>
      </c>
      <c r="V13" s="6">
        <f t="shared" si="2"/>
        <v>0.61510677596421492</v>
      </c>
      <c r="W13" t="s">
        <v>341</v>
      </c>
      <c r="X13" t="s">
        <v>342</v>
      </c>
    </row>
    <row r="14" spans="1:24" x14ac:dyDescent="0.2">
      <c r="A14" t="s">
        <v>45</v>
      </c>
      <c r="B14">
        <v>13</v>
      </c>
      <c r="C14" s="5">
        <v>13</v>
      </c>
      <c r="D14">
        <v>13283</v>
      </c>
      <c r="E14">
        <v>1808</v>
      </c>
      <c r="F14">
        <v>0.93500000000000005</v>
      </c>
      <c r="G14">
        <v>5.7009999999999996</v>
      </c>
      <c r="H14">
        <v>10</v>
      </c>
      <c r="I14">
        <v>3733</v>
      </c>
      <c r="J14">
        <v>1608</v>
      </c>
      <c r="K14">
        <v>0.76800000000000002</v>
      </c>
      <c r="L14">
        <v>0.88300000000000001</v>
      </c>
      <c r="M14">
        <v>1236</v>
      </c>
      <c r="N14">
        <v>9550</v>
      </c>
      <c r="O14">
        <v>200</v>
      </c>
      <c r="P14">
        <v>3391.319</v>
      </c>
      <c r="Q14">
        <v>92.623000000000005</v>
      </c>
      <c r="R14">
        <v>3219.9389999999999</v>
      </c>
      <c r="S14">
        <v>3583.5010000000002</v>
      </c>
      <c r="T14">
        <f t="shared" si="0"/>
        <v>171.38000000000011</v>
      </c>
      <c r="U14">
        <f t="shared" si="1"/>
        <v>192.18200000000024</v>
      </c>
      <c r="V14" s="6">
        <f t="shared" si="2"/>
        <v>0.53312590175091168</v>
      </c>
      <c r="W14" t="s">
        <v>343</v>
      </c>
      <c r="X14" t="s">
        <v>344</v>
      </c>
    </row>
    <row r="15" spans="1:24" x14ac:dyDescent="0.2">
      <c r="A15" t="s">
        <v>46</v>
      </c>
      <c r="B15">
        <v>10</v>
      </c>
      <c r="C15" s="5">
        <v>10</v>
      </c>
      <c r="D15">
        <v>17287</v>
      </c>
      <c r="E15">
        <v>1813</v>
      </c>
      <c r="F15">
        <v>0.95499999999999996</v>
      </c>
      <c r="G15">
        <v>5.1609999999999996</v>
      </c>
      <c r="H15">
        <v>10</v>
      </c>
      <c r="I15">
        <v>3785</v>
      </c>
      <c r="J15">
        <v>1546</v>
      </c>
      <c r="K15">
        <v>0.79300000000000004</v>
      </c>
      <c r="L15">
        <v>0.86299999999999999</v>
      </c>
      <c r="M15">
        <v>1.1850000000000001</v>
      </c>
      <c r="N15">
        <v>13502</v>
      </c>
      <c r="O15">
        <v>267</v>
      </c>
      <c r="P15">
        <v>3091.0210000000002</v>
      </c>
      <c r="Q15">
        <v>71.605999999999995</v>
      </c>
      <c r="R15">
        <v>2958.2060000000001</v>
      </c>
      <c r="S15">
        <v>3239.24</v>
      </c>
      <c r="T15">
        <f t="shared" si="0"/>
        <v>132.81500000000005</v>
      </c>
      <c r="U15">
        <f t="shared" si="1"/>
        <v>148.2189999999996</v>
      </c>
      <c r="V15" s="6">
        <f t="shared" si="2"/>
        <v>0.58653758741852613</v>
      </c>
      <c r="W15" t="s">
        <v>345</v>
      </c>
      <c r="X15" t="s">
        <v>346</v>
      </c>
    </row>
    <row r="16" spans="1:24" x14ac:dyDescent="0.2">
      <c r="A16" t="s">
        <v>47</v>
      </c>
      <c r="B16">
        <v>13</v>
      </c>
      <c r="C16" s="5">
        <v>11</v>
      </c>
      <c r="D16">
        <v>17188</v>
      </c>
      <c r="E16">
        <v>2108</v>
      </c>
      <c r="F16">
        <v>0.94299999999999995</v>
      </c>
      <c r="G16">
        <v>5.6020000000000003</v>
      </c>
      <c r="H16">
        <v>10</v>
      </c>
      <c r="I16">
        <v>4363</v>
      </c>
      <c r="J16">
        <v>1844</v>
      </c>
      <c r="K16">
        <v>0.77700000000000002</v>
      </c>
      <c r="L16">
        <v>0.85899999999999999</v>
      </c>
      <c r="M16">
        <v>1.19</v>
      </c>
      <c r="N16">
        <v>12825</v>
      </c>
      <c r="O16">
        <v>264</v>
      </c>
      <c r="P16">
        <v>3876.6480000000001</v>
      </c>
      <c r="Q16">
        <v>97.61</v>
      </c>
      <c r="R16">
        <v>3695.45</v>
      </c>
      <c r="S16">
        <v>4078.5279999999998</v>
      </c>
      <c r="T16">
        <f t="shared" si="0"/>
        <v>181.19800000000032</v>
      </c>
      <c r="U16">
        <f t="shared" si="1"/>
        <v>201.87999999999965</v>
      </c>
      <c r="V16" s="6">
        <f t="shared" si="2"/>
        <v>0.54376874041697876</v>
      </c>
      <c r="W16" t="s">
        <v>347</v>
      </c>
      <c r="X16" t="s">
        <v>348</v>
      </c>
    </row>
    <row r="17" spans="1:25" x14ac:dyDescent="0.2">
      <c r="A17" t="s">
        <v>48</v>
      </c>
      <c r="B17">
        <v>13</v>
      </c>
      <c r="C17" s="5">
        <v>11</v>
      </c>
      <c r="D17">
        <v>28931</v>
      </c>
      <c r="E17">
        <v>2757</v>
      </c>
      <c r="F17">
        <v>0.95799999999999996</v>
      </c>
      <c r="G17">
        <v>6.6920000000000002</v>
      </c>
      <c r="H17">
        <v>10</v>
      </c>
      <c r="I17">
        <v>6031</v>
      </c>
      <c r="J17">
        <v>2390</v>
      </c>
      <c r="K17">
        <v>0.79700000000000004</v>
      </c>
      <c r="L17">
        <v>0.874</v>
      </c>
      <c r="M17">
        <v>1.2050000000000001</v>
      </c>
      <c r="N17">
        <v>22900</v>
      </c>
      <c r="O17">
        <v>367</v>
      </c>
      <c r="P17">
        <v>5048.34</v>
      </c>
      <c r="Q17">
        <v>111.059</v>
      </c>
      <c r="R17">
        <v>4840.8040000000001</v>
      </c>
      <c r="S17">
        <v>5276.5450000000001</v>
      </c>
      <c r="T17">
        <f t="shared" si="0"/>
        <v>207.53600000000006</v>
      </c>
      <c r="U17">
        <f t="shared" si="1"/>
        <v>228.20499999999993</v>
      </c>
      <c r="V17" s="6">
        <f t="shared" si="2"/>
        <v>0.54612011076908451</v>
      </c>
      <c r="W17" t="s">
        <v>349</v>
      </c>
      <c r="X17" t="s">
        <v>350</v>
      </c>
    </row>
    <row r="18" spans="1:25" x14ac:dyDescent="0.2">
      <c r="A18" t="s">
        <v>49</v>
      </c>
      <c r="B18">
        <v>14</v>
      </c>
      <c r="C18" s="5">
        <v>14</v>
      </c>
      <c r="D18">
        <v>23616</v>
      </c>
      <c r="E18">
        <v>2760</v>
      </c>
      <c r="F18">
        <v>0.94399999999999995</v>
      </c>
      <c r="G18">
        <v>6.78</v>
      </c>
      <c r="H18">
        <v>10</v>
      </c>
      <c r="I18">
        <v>5604</v>
      </c>
      <c r="J18">
        <v>2445</v>
      </c>
      <c r="K18">
        <v>0.76300000000000001</v>
      </c>
      <c r="L18">
        <v>0.88200000000000001</v>
      </c>
      <c r="M18">
        <v>1.236</v>
      </c>
      <c r="N18">
        <v>18012</v>
      </c>
      <c r="O18">
        <v>315</v>
      </c>
      <c r="P18">
        <v>5073.0240000000003</v>
      </c>
      <c r="Q18">
        <v>109.386</v>
      </c>
      <c r="R18">
        <v>4868.3770000000004</v>
      </c>
      <c r="S18">
        <v>5297.5349999999999</v>
      </c>
      <c r="T18">
        <f t="shared" si="0"/>
        <v>204.64699999999993</v>
      </c>
      <c r="U18">
        <f t="shared" si="1"/>
        <v>224.51099999999951</v>
      </c>
      <c r="V18" s="6">
        <f t="shared" si="2"/>
        <v>0.54405419725985915</v>
      </c>
      <c r="W18" t="s">
        <v>351</v>
      </c>
      <c r="X18" t="s">
        <v>352</v>
      </c>
    </row>
    <row r="19" spans="1:25" x14ac:dyDescent="0.2">
      <c r="A19" s="7" t="s">
        <v>50</v>
      </c>
      <c r="B19" s="7">
        <v>22</v>
      </c>
      <c r="C19" s="8">
        <v>20</v>
      </c>
      <c r="D19" s="7">
        <v>76873</v>
      </c>
      <c r="E19" s="7">
        <v>4531</v>
      </c>
      <c r="F19" s="7">
        <v>0.97799999999999998</v>
      </c>
      <c r="G19" s="7">
        <v>7.3179999999999996</v>
      </c>
      <c r="H19" s="7">
        <v>10</v>
      </c>
      <c r="I19" s="7">
        <v>9559</v>
      </c>
      <c r="J19" s="7">
        <v>3609</v>
      </c>
      <c r="K19" s="7">
        <v>0.82499999999999996</v>
      </c>
      <c r="L19" s="7">
        <v>0.81399999999999995</v>
      </c>
      <c r="M19" s="7">
        <v>1.0840000000000001</v>
      </c>
      <c r="N19" s="7">
        <v>67314</v>
      </c>
      <c r="O19" s="7">
        <v>922</v>
      </c>
      <c r="P19" s="7">
        <v>7017.6170000000002</v>
      </c>
      <c r="Q19" s="7">
        <v>95.751999999999995</v>
      </c>
      <c r="R19" s="7">
        <v>6836.9179999999997</v>
      </c>
      <c r="S19" s="7">
        <v>7212.4750000000004</v>
      </c>
      <c r="T19" s="7">
        <f t="shared" si="0"/>
        <v>180.69900000000052</v>
      </c>
      <c r="U19" s="7">
        <f t="shared" si="1"/>
        <v>194.85800000000017</v>
      </c>
      <c r="V19" s="9">
        <f t="shared" si="2"/>
        <v>0.64566077060061844</v>
      </c>
      <c r="W19" t="s">
        <v>353</v>
      </c>
      <c r="X19" t="s">
        <v>354</v>
      </c>
    </row>
    <row r="20" spans="1:25" s="2" customFormat="1" x14ac:dyDescent="0.2">
      <c r="V20" s="4">
        <f>AVERAGE(V3:V19)</f>
        <v>0.53385018416163577</v>
      </c>
    </row>
    <row r="21" spans="1:25" s="7" customFormat="1" x14ac:dyDescent="0.2">
      <c r="V21" s="9"/>
    </row>
    <row r="22" spans="1:25" x14ac:dyDescent="0.2">
      <c r="A22" s="10" t="s">
        <v>51</v>
      </c>
      <c r="B22" s="10">
        <v>11</v>
      </c>
      <c r="C22" s="11">
        <v>8</v>
      </c>
      <c r="D22" s="10">
        <v>17617</v>
      </c>
      <c r="E22" s="10">
        <v>2005</v>
      </c>
      <c r="F22" s="10">
        <v>0.94499999999999995</v>
      </c>
      <c r="G22" s="10">
        <v>5.202</v>
      </c>
      <c r="H22" s="10">
        <v>10</v>
      </c>
      <c r="I22" s="10">
        <v>3991</v>
      </c>
      <c r="J22" s="10">
        <v>1782</v>
      </c>
      <c r="K22" s="10">
        <v>0.75600000000000001</v>
      </c>
      <c r="L22" s="10">
        <v>0.85499999999999998</v>
      </c>
      <c r="M22" s="10">
        <v>1.1930000000000001</v>
      </c>
      <c r="N22" s="10">
        <v>13626</v>
      </c>
      <c r="O22" s="10">
        <v>223</v>
      </c>
      <c r="P22" s="10">
        <v>3834.404</v>
      </c>
      <c r="Q22" s="10">
        <v>100.78100000000001</v>
      </c>
      <c r="R22" s="10">
        <v>3647.3020000000001</v>
      </c>
      <c r="S22" s="10">
        <v>4042.8229999999999</v>
      </c>
      <c r="T22">
        <f>P22-R22</f>
        <v>187.10199999999986</v>
      </c>
      <c r="U22">
        <f>S22-P22</f>
        <v>208.41899999999987</v>
      </c>
      <c r="V22" s="6">
        <f>E22/P22</f>
        <v>0.52289743073499817</v>
      </c>
    </row>
    <row r="24" spans="1:25" x14ac:dyDescent="0.2">
      <c r="A24" t="s">
        <v>41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 t="s">
        <v>57</v>
      </c>
      <c r="H24" t="s">
        <v>58</v>
      </c>
      <c r="I24" t="s">
        <v>59</v>
      </c>
      <c r="J24" t="s">
        <v>60</v>
      </c>
      <c r="K24" t="s">
        <v>61</v>
      </c>
      <c r="L24" t="s">
        <v>62</v>
      </c>
      <c r="M24" t="s">
        <v>63</v>
      </c>
      <c r="N24" t="s">
        <v>64</v>
      </c>
      <c r="O24" t="s">
        <v>65</v>
      </c>
      <c r="P24" t="s">
        <v>66</v>
      </c>
      <c r="Q24" t="s">
        <v>67</v>
      </c>
      <c r="R24" t="s">
        <v>68</v>
      </c>
      <c r="S24" t="s">
        <v>68</v>
      </c>
      <c r="T24" t="s">
        <v>69</v>
      </c>
      <c r="U24" t="s">
        <v>69</v>
      </c>
      <c r="V24" t="s">
        <v>70</v>
      </c>
      <c r="W24" t="s">
        <v>71</v>
      </c>
      <c r="X24" t="s">
        <v>72</v>
      </c>
      <c r="Y24" t="s">
        <v>73</v>
      </c>
    </row>
    <row r="25" spans="1:25" x14ac:dyDescent="0.2">
      <c r="A25" t="s">
        <v>50</v>
      </c>
      <c r="B25" t="s">
        <v>74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 t="s">
        <v>85</v>
      </c>
      <c r="N25" t="s">
        <v>86</v>
      </c>
      <c r="O25" t="s">
        <v>87</v>
      </c>
      <c r="P25" t="s">
        <v>88</v>
      </c>
      <c r="Q25" t="s">
        <v>89</v>
      </c>
      <c r="R25" t="s">
        <v>90</v>
      </c>
      <c r="S25" t="s">
        <v>91</v>
      </c>
      <c r="T25" t="s">
        <v>92</v>
      </c>
      <c r="U25" t="s">
        <v>93</v>
      </c>
      <c r="V25" t="s">
        <v>94</v>
      </c>
      <c r="W25" t="s">
        <v>95</v>
      </c>
    </row>
    <row r="26" spans="1:25" x14ac:dyDescent="0.2">
      <c r="A26" t="s">
        <v>37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103</v>
      </c>
      <c r="J26" t="s">
        <v>103</v>
      </c>
      <c r="K26" t="s">
        <v>104</v>
      </c>
      <c r="L26" t="s">
        <v>105</v>
      </c>
      <c r="M26" t="s">
        <v>106</v>
      </c>
      <c r="N26" t="s">
        <v>107</v>
      </c>
      <c r="O26" t="s">
        <v>108</v>
      </c>
      <c r="P26" t="s">
        <v>109</v>
      </c>
      <c r="Q26" t="s">
        <v>110</v>
      </c>
      <c r="R26" t="s">
        <v>111</v>
      </c>
      <c r="S26" t="s">
        <v>111</v>
      </c>
      <c r="T26" t="s">
        <v>112</v>
      </c>
      <c r="U26" t="s">
        <v>113</v>
      </c>
      <c r="V26" t="s">
        <v>114</v>
      </c>
      <c r="W26" t="s">
        <v>115</v>
      </c>
    </row>
    <row r="27" spans="1:25" x14ac:dyDescent="0.2">
      <c r="A27" t="s">
        <v>34</v>
      </c>
      <c r="B27" t="s">
        <v>116</v>
      </c>
      <c r="C27" t="s">
        <v>117</v>
      </c>
      <c r="D27" t="s">
        <v>118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128</v>
      </c>
      <c r="O27" t="s">
        <v>129</v>
      </c>
      <c r="P27" t="s">
        <v>130</v>
      </c>
      <c r="Q27" t="s">
        <v>131</v>
      </c>
      <c r="R27" t="s">
        <v>132</v>
      </c>
      <c r="S27" t="s">
        <v>133</v>
      </c>
    </row>
    <row r="28" spans="1:25" x14ac:dyDescent="0.2">
      <c r="A28" t="s">
        <v>39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  <c r="G28" t="s">
        <v>139</v>
      </c>
      <c r="H28" t="s">
        <v>140</v>
      </c>
      <c r="I28" t="s">
        <v>141</v>
      </c>
      <c r="J28" t="s">
        <v>142</v>
      </c>
      <c r="K28" t="s">
        <v>143</v>
      </c>
      <c r="L28" t="s">
        <v>144</v>
      </c>
      <c r="M28" t="s">
        <v>145</v>
      </c>
      <c r="N28" t="s">
        <v>146</v>
      </c>
      <c r="O28" t="s">
        <v>147</v>
      </c>
      <c r="P28" t="s">
        <v>148</v>
      </c>
      <c r="Q28" t="s">
        <v>149</v>
      </c>
      <c r="R28" t="s">
        <v>150</v>
      </c>
    </row>
    <row r="29" spans="1:25" x14ac:dyDescent="0.2">
      <c r="A29" t="s">
        <v>38</v>
      </c>
      <c r="B29" t="s">
        <v>151</v>
      </c>
      <c r="C29" t="s">
        <v>152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  <c r="I29" t="s">
        <v>158</v>
      </c>
      <c r="J29" t="s">
        <v>159</v>
      </c>
      <c r="K29" t="s">
        <v>160</v>
      </c>
      <c r="L29" t="s">
        <v>161</v>
      </c>
      <c r="M29" t="s">
        <v>162</v>
      </c>
      <c r="N29" t="s">
        <v>163</v>
      </c>
      <c r="O29" t="s">
        <v>164</v>
      </c>
    </row>
    <row r="30" spans="1:25" x14ac:dyDescent="0.2">
      <c r="A30" t="s">
        <v>49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  <c r="G30" t="s">
        <v>170</v>
      </c>
      <c r="H30" t="s">
        <v>171</v>
      </c>
      <c r="I30" t="s">
        <v>172</v>
      </c>
      <c r="J30" t="s">
        <v>173</v>
      </c>
      <c r="K30" t="s">
        <v>174</v>
      </c>
      <c r="L30" t="s">
        <v>175</v>
      </c>
      <c r="M30" t="s">
        <v>176</v>
      </c>
      <c r="N30" t="s">
        <v>177</v>
      </c>
      <c r="O30" t="s">
        <v>178</v>
      </c>
    </row>
    <row r="31" spans="1:25" x14ac:dyDescent="0.2">
      <c r="A31" t="s">
        <v>40</v>
      </c>
      <c r="B31" t="s">
        <v>179</v>
      </c>
      <c r="C31" t="s">
        <v>180</v>
      </c>
      <c r="D31" t="s">
        <v>181</v>
      </c>
      <c r="E31" t="s">
        <v>182</v>
      </c>
      <c r="F31" t="s">
        <v>183</v>
      </c>
      <c r="G31" t="s">
        <v>184</v>
      </c>
      <c r="H31" t="s">
        <v>185</v>
      </c>
      <c r="I31" t="s">
        <v>186</v>
      </c>
      <c r="J31" t="s">
        <v>187</v>
      </c>
      <c r="K31" t="s">
        <v>188</v>
      </c>
      <c r="L31" t="s">
        <v>189</v>
      </c>
      <c r="M31" t="s">
        <v>190</v>
      </c>
      <c r="N31" t="s">
        <v>191</v>
      </c>
      <c r="O31" t="s">
        <v>192</v>
      </c>
    </row>
    <row r="32" spans="1:25" x14ac:dyDescent="0.2">
      <c r="A32" t="s">
        <v>36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199</v>
      </c>
      <c r="I32" t="s">
        <v>200</v>
      </c>
      <c r="J32" t="s">
        <v>201</v>
      </c>
      <c r="K32" t="s">
        <v>202</v>
      </c>
      <c r="L32" t="s">
        <v>203</v>
      </c>
      <c r="M32" t="s">
        <v>204</v>
      </c>
      <c r="N32" t="s">
        <v>205</v>
      </c>
      <c r="O32" t="s">
        <v>206</v>
      </c>
    </row>
    <row r="33" spans="1:25" x14ac:dyDescent="0.2">
      <c r="A33" t="s">
        <v>45</v>
      </c>
      <c r="B33" t="s">
        <v>207</v>
      </c>
      <c r="C33" t="s">
        <v>208</v>
      </c>
      <c r="D33" t="s">
        <v>209</v>
      </c>
      <c r="E33" t="s">
        <v>210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K33" t="s">
        <v>216</v>
      </c>
      <c r="L33" t="s">
        <v>217</v>
      </c>
      <c r="M33" t="s">
        <v>218</v>
      </c>
      <c r="N33" t="s">
        <v>219</v>
      </c>
    </row>
    <row r="34" spans="1:25" x14ac:dyDescent="0.2">
      <c r="A34" t="s">
        <v>43</v>
      </c>
      <c r="B34" t="s">
        <v>220</v>
      </c>
      <c r="C34" t="s">
        <v>221</v>
      </c>
      <c r="D34" t="s">
        <v>222</v>
      </c>
      <c r="E34" t="s">
        <v>223</v>
      </c>
      <c r="F34" t="s">
        <v>224</v>
      </c>
      <c r="G34" t="s">
        <v>225</v>
      </c>
      <c r="H34" t="s">
        <v>226</v>
      </c>
      <c r="I34" t="s">
        <v>227</v>
      </c>
      <c r="J34" t="s">
        <v>228</v>
      </c>
      <c r="K34" t="s">
        <v>229</v>
      </c>
      <c r="L34" t="s">
        <v>230</v>
      </c>
      <c r="M34" t="s">
        <v>231</v>
      </c>
      <c r="N34" t="s">
        <v>232</v>
      </c>
    </row>
    <row r="35" spans="1:25" x14ac:dyDescent="0.2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  <c r="H35" t="s">
        <v>240</v>
      </c>
      <c r="I35" t="s">
        <v>241</v>
      </c>
      <c r="J35" t="s">
        <v>242</v>
      </c>
      <c r="K35" t="s">
        <v>243</v>
      </c>
      <c r="L35" t="s">
        <v>244</v>
      </c>
      <c r="M35" t="s">
        <v>245</v>
      </c>
      <c r="N35" t="s">
        <v>246</v>
      </c>
    </row>
    <row r="36" spans="1:25" x14ac:dyDescent="0.2">
      <c r="A36" t="s">
        <v>48</v>
      </c>
      <c r="B36" t="s">
        <v>247</v>
      </c>
      <c r="C36" t="s">
        <v>248</v>
      </c>
      <c r="D36" t="s">
        <v>249</v>
      </c>
      <c r="E36" t="s">
        <v>250</v>
      </c>
      <c r="F36" t="s">
        <v>251</v>
      </c>
      <c r="G36" t="s">
        <v>252</v>
      </c>
      <c r="H36" t="s">
        <v>252</v>
      </c>
      <c r="I36" t="s">
        <v>253</v>
      </c>
      <c r="J36" t="s">
        <v>254</v>
      </c>
      <c r="K36" t="s">
        <v>255</v>
      </c>
      <c r="L36" t="s">
        <v>256</v>
      </c>
      <c r="M36" t="s">
        <v>257</v>
      </c>
      <c r="N36" t="s">
        <v>258</v>
      </c>
    </row>
    <row r="37" spans="1:25" x14ac:dyDescent="0.2">
      <c r="A37" t="s">
        <v>47</v>
      </c>
      <c r="B37" t="s">
        <v>259</v>
      </c>
      <c r="C37" t="s">
        <v>260</v>
      </c>
      <c r="D37" t="s">
        <v>261</v>
      </c>
      <c r="E37" t="s">
        <v>262</v>
      </c>
      <c r="F37" t="s">
        <v>263</v>
      </c>
      <c r="G37" t="s">
        <v>264</v>
      </c>
      <c r="H37" t="s">
        <v>265</v>
      </c>
      <c r="I37" t="s">
        <v>266</v>
      </c>
      <c r="J37" t="s">
        <v>267</v>
      </c>
      <c r="K37" t="s">
        <v>268</v>
      </c>
      <c r="L37" t="s">
        <v>269</v>
      </c>
      <c r="M37" t="s">
        <v>270</v>
      </c>
      <c r="N37" t="s">
        <v>271</v>
      </c>
    </row>
    <row r="38" spans="1:25" x14ac:dyDescent="0.2">
      <c r="A38" t="s">
        <v>44</v>
      </c>
      <c r="B38" t="s">
        <v>272</v>
      </c>
      <c r="C38" t="s">
        <v>273</v>
      </c>
      <c r="D38" t="s">
        <v>274</v>
      </c>
      <c r="E38" t="s">
        <v>275</v>
      </c>
      <c r="F38" t="s">
        <v>276</v>
      </c>
      <c r="G38" t="s">
        <v>277</v>
      </c>
      <c r="H38" t="s">
        <v>278</v>
      </c>
      <c r="I38" t="s">
        <v>279</v>
      </c>
      <c r="J38" t="s">
        <v>280</v>
      </c>
      <c r="K38" t="s">
        <v>281</v>
      </c>
      <c r="L38" t="s">
        <v>282</v>
      </c>
      <c r="M38" t="s">
        <v>283</v>
      </c>
    </row>
    <row r="39" spans="1:25" x14ac:dyDescent="0.2">
      <c r="A39" t="s">
        <v>35</v>
      </c>
      <c r="B39" t="s">
        <v>284</v>
      </c>
      <c r="C39" t="s">
        <v>285</v>
      </c>
      <c r="D39" t="s">
        <v>286</v>
      </c>
      <c r="E39" t="s">
        <v>287</v>
      </c>
      <c r="F39" t="s">
        <v>288</v>
      </c>
      <c r="G39" t="s">
        <v>289</v>
      </c>
      <c r="H39" t="s">
        <v>290</v>
      </c>
      <c r="I39" t="s">
        <v>291</v>
      </c>
      <c r="J39" t="s">
        <v>292</v>
      </c>
      <c r="K39" t="s">
        <v>293</v>
      </c>
      <c r="L39" t="s">
        <v>294</v>
      </c>
      <c r="M39" t="s">
        <v>295</v>
      </c>
    </row>
    <row r="40" spans="1:25" x14ac:dyDescent="0.2">
      <c r="A40" t="s">
        <v>51</v>
      </c>
      <c r="B40" t="s">
        <v>296</v>
      </c>
      <c r="C40" t="s">
        <v>297</v>
      </c>
      <c r="D40" t="s">
        <v>298</v>
      </c>
      <c r="E40" t="s">
        <v>299</v>
      </c>
      <c r="F40" t="s">
        <v>300</v>
      </c>
      <c r="G40" t="s">
        <v>301</v>
      </c>
      <c r="H40" t="s">
        <v>302</v>
      </c>
      <c r="I40" t="s">
        <v>303</v>
      </c>
      <c r="J40" t="s">
        <v>304</v>
      </c>
      <c r="K40" t="s">
        <v>305</v>
      </c>
      <c r="L40" t="s">
        <v>306</v>
      </c>
    </row>
    <row r="41" spans="1:25" x14ac:dyDescent="0.2">
      <c r="A41" t="s">
        <v>46</v>
      </c>
      <c r="B41" t="s">
        <v>307</v>
      </c>
      <c r="C41" t="s">
        <v>308</v>
      </c>
      <c r="D41" t="s">
        <v>309</v>
      </c>
      <c r="E41" t="s">
        <v>310</v>
      </c>
      <c r="F41" t="s">
        <v>311</v>
      </c>
      <c r="G41" t="s">
        <v>312</v>
      </c>
      <c r="H41" t="s">
        <v>313</v>
      </c>
      <c r="I41" t="s">
        <v>314</v>
      </c>
      <c r="J41" t="s">
        <v>315</v>
      </c>
      <c r="K41" t="s">
        <v>316</v>
      </c>
    </row>
    <row r="42" spans="1:25" x14ac:dyDescent="0.2">
      <c r="A42" t="s">
        <v>317</v>
      </c>
    </row>
    <row r="43" spans="1:25" x14ac:dyDescent="0.2">
      <c r="A43" t="s">
        <v>318</v>
      </c>
    </row>
    <row r="45" spans="1:25" x14ac:dyDescent="0.2">
      <c r="A45" t="s">
        <v>41</v>
      </c>
      <c r="B45" t="str">
        <f>CONCATENATE($A$42,B24,$A$42,$A$43)</f>
        <v>"GMP#32362",</v>
      </c>
      <c r="C45" t="str">
        <f t="shared" ref="C45:R60" si="3">CONCATENATE($A$42,C24,$A$42,$A$43)</f>
        <v>"GMP#32364",</v>
      </c>
      <c r="D45" t="str">
        <f t="shared" si="3"/>
        <v>"GMP#32366",</v>
      </c>
      <c r="E45" t="str">
        <f t="shared" si="3"/>
        <v>"GMP#32368",</v>
      </c>
      <c r="F45" t="str">
        <f t="shared" si="3"/>
        <v>"GMP#32370",</v>
      </c>
      <c r="G45" t="str">
        <f t="shared" si="3"/>
        <v>"GMP#32372",</v>
      </c>
      <c r="H45" t="str">
        <f t="shared" si="3"/>
        <v>"GMP#34026",</v>
      </c>
      <c r="I45" t="str">
        <f t="shared" si="3"/>
        <v>"GMP#34030",</v>
      </c>
      <c r="J45" t="str">
        <f t="shared" si="3"/>
        <v>"GMP#34032",</v>
      </c>
      <c r="K45" t="str">
        <f t="shared" si="3"/>
        <v>"GMP#34034",</v>
      </c>
      <c r="L45" t="str">
        <f t="shared" si="3"/>
        <v>"GMP#34036",</v>
      </c>
      <c r="M45" t="str">
        <f t="shared" si="3"/>
        <v>"GMP#34038",</v>
      </c>
      <c r="N45" t="str">
        <f t="shared" si="3"/>
        <v>"GMP#34040",</v>
      </c>
      <c r="O45" t="str">
        <f>CONCATENATE($A$42,O24,$A$42,$A$43)</f>
        <v>"GMP#34042",</v>
      </c>
      <c r="P45" t="str">
        <f t="shared" ref="P45:W48" si="4">CONCATENATE($A$42,P24,$A$42,$A$43)</f>
        <v>"GMP#34045",</v>
      </c>
      <c r="Q45" t="str">
        <f t="shared" si="4"/>
        <v>"GMP#34048",</v>
      </c>
      <c r="R45" t="str">
        <f t="shared" si="4"/>
        <v>"GMP#34050",</v>
      </c>
      <c r="S45" t="str">
        <f t="shared" si="4"/>
        <v>"GMP#34050",</v>
      </c>
      <c r="T45" t="str">
        <f>CONCATENATE($A$42,T24,$A$42,$A$43)</f>
        <v>"GMP#34052",</v>
      </c>
      <c r="U45" t="str">
        <f t="shared" ref="U45:W45" si="5">CONCATENATE($A$42,U24,$A$42,$A$43)</f>
        <v>"GMP#34052",</v>
      </c>
      <c r="V45" t="str">
        <f t="shared" si="5"/>
        <v>"GMP#34054",</v>
      </c>
      <c r="W45" t="str">
        <f t="shared" si="5"/>
        <v>"GMP#34056",</v>
      </c>
      <c r="X45" t="str">
        <f>CONCATENATE($A$42,X24,$A$42,$A$43)</f>
        <v>"GMP#34058",</v>
      </c>
      <c r="Y45" t="str">
        <f t="shared" ref="Y45" si="6">CONCATENATE($A$42,Y24,$A$42,$A$43)</f>
        <v>"GMP#34062",</v>
      </c>
    </row>
    <row r="46" spans="1:25" x14ac:dyDescent="0.2">
      <c r="A46" t="s">
        <v>50</v>
      </c>
      <c r="B46" t="str">
        <f t="shared" ref="B46:B54" si="7">CONCATENATE($A$42,B25,$A$42,$A$43)</f>
        <v>"CIBI00004",</v>
      </c>
      <c r="C46" t="str">
        <f t="shared" si="3"/>
        <v>"CIBI00006",</v>
      </c>
      <c r="D46" t="str">
        <f t="shared" si="3"/>
        <v>"CIBI00055",</v>
      </c>
      <c r="E46" t="str">
        <f t="shared" si="3"/>
        <v>"CIBI00445",</v>
      </c>
      <c r="F46" t="str">
        <f t="shared" si="3"/>
        <v>"CIBI00450",</v>
      </c>
      <c r="G46" t="str">
        <f t="shared" si="3"/>
        <v>"CIBI00454",</v>
      </c>
      <c r="H46" t="str">
        <f t="shared" si="3"/>
        <v>"CIBI00781",</v>
      </c>
      <c r="I46" t="str">
        <f t="shared" si="3"/>
        <v>"CIBI00920",</v>
      </c>
      <c r="J46" t="str">
        <f t="shared" si="3"/>
        <v>"CIBI00922",</v>
      </c>
      <c r="K46" t="str">
        <f t="shared" si="3"/>
        <v>"CIBI01305",</v>
      </c>
      <c r="L46" t="str">
        <f t="shared" si="3"/>
        <v>"CIBI01310",</v>
      </c>
      <c r="M46" t="str">
        <f t="shared" si="3"/>
        <v>"CIBI01378",</v>
      </c>
      <c r="N46" t="str">
        <f t="shared" si="3"/>
        <v>"CIBI01380",</v>
      </c>
      <c r="O46" t="str">
        <f t="shared" si="3"/>
        <v>"CIBI01390",</v>
      </c>
      <c r="P46" t="str">
        <f t="shared" si="3"/>
        <v>"CIBI01392",</v>
      </c>
      <c r="Q46" t="str">
        <f t="shared" si="3"/>
        <v>"CIBI01469",</v>
      </c>
      <c r="R46" t="str">
        <f t="shared" si="3"/>
        <v>"CIBI01501",</v>
      </c>
      <c r="S46" t="str">
        <f t="shared" si="4"/>
        <v>"CIBI01607",</v>
      </c>
      <c r="T46" t="str">
        <f t="shared" si="4"/>
        <v>"CIBI01782",</v>
      </c>
      <c r="U46" t="str">
        <f t="shared" si="4"/>
        <v>"CIBI01787",</v>
      </c>
      <c r="V46" t="str">
        <f t="shared" si="4"/>
        <v>"CIBI01962",</v>
      </c>
      <c r="W46" t="str">
        <f t="shared" si="4"/>
        <v>"CIBI01964",</v>
      </c>
    </row>
    <row r="47" spans="1:25" x14ac:dyDescent="0.2">
      <c r="A47" t="s">
        <v>37</v>
      </c>
      <c r="B47" t="str">
        <f t="shared" si="7"/>
        <v>"GMP#32349",</v>
      </c>
      <c r="C47" t="str">
        <f t="shared" si="3"/>
        <v>"GMP#32351",</v>
      </c>
      <c r="D47" t="str">
        <f t="shared" si="3"/>
        <v>"GMP#32353",</v>
      </c>
      <c r="E47" t="str">
        <f t="shared" si="3"/>
        <v>"GMP#32357",</v>
      </c>
      <c r="F47" t="str">
        <f t="shared" si="3"/>
        <v>"GMP#32359",</v>
      </c>
      <c r="G47" t="str">
        <f t="shared" si="3"/>
        <v>"GMP#33974",</v>
      </c>
      <c r="H47" t="str">
        <f t="shared" si="3"/>
        <v>"GMP#33978",</v>
      </c>
      <c r="I47" t="str">
        <f t="shared" si="3"/>
        <v>"GMP#33980",</v>
      </c>
      <c r="J47" t="str">
        <f t="shared" si="3"/>
        <v>"GMP#33980",</v>
      </c>
      <c r="K47" t="str">
        <f t="shared" si="3"/>
        <v>"GMP#33982",</v>
      </c>
      <c r="L47" t="str">
        <f t="shared" si="3"/>
        <v>"GMP#33986",</v>
      </c>
      <c r="M47" t="str">
        <f t="shared" si="3"/>
        <v>"GMP#33988",</v>
      </c>
      <c r="N47" t="str">
        <f t="shared" si="3"/>
        <v>"GMP#33990",</v>
      </c>
      <c r="O47" t="str">
        <f t="shared" si="3"/>
        <v>"GMP#33994",</v>
      </c>
      <c r="P47" t="str">
        <f t="shared" si="3"/>
        <v>"GMP#33996",</v>
      </c>
      <c r="Q47" t="str">
        <f t="shared" si="3"/>
        <v>"GMP#33998",</v>
      </c>
      <c r="R47" t="str">
        <f t="shared" si="3"/>
        <v>"GMP#34000",</v>
      </c>
      <c r="S47" t="str">
        <f t="shared" si="4"/>
        <v>"GMP#34000",</v>
      </c>
      <c r="T47" t="str">
        <f t="shared" si="4"/>
        <v>"GMP#34002",</v>
      </c>
      <c r="U47" t="str">
        <f t="shared" si="4"/>
        <v>"GMP#34004",</v>
      </c>
      <c r="V47" t="str">
        <f t="shared" si="4"/>
        <v>"GMP#34006",</v>
      </c>
      <c r="W47" t="str">
        <f t="shared" si="4"/>
        <v>"GMP#34010",</v>
      </c>
    </row>
    <row r="48" spans="1:25" x14ac:dyDescent="0.2">
      <c r="A48" t="s">
        <v>34</v>
      </c>
      <c r="B48" t="str">
        <f t="shared" si="7"/>
        <v>"GMP#33010",</v>
      </c>
      <c r="C48" t="str">
        <f t="shared" si="3"/>
        <v>"GMP#33012",</v>
      </c>
      <c r="D48" t="str">
        <f t="shared" si="3"/>
        <v>"GMP#33014",</v>
      </c>
      <c r="E48" t="str">
        <f t="shared" si="3"/>
        <v>"GMP#33018",</v>
      </c>
      <c r="F48" t="str">
        <f t="shared" si="3"/>
        <v>"GMP#33020",</v>
      </c>
      <c r="G48" t="str">
        <f t="shared" si="3"/>
        <v>"GMP#33022",</v>
      </c>
      <c r="H48" t="str">
        <f t="shared" si="3"/>
        <v>"GMP#33026",</v>
      </c>
      <c r="I48" t="str">
        <f t="shared" si="3"/>
        <v>"GMP#33028",</v>
      </c>
      <c r="J48" t="str">
        <f t="shared" si="3"/>
        <v>"GMP#33030",</v>
      </c>
      <c r="K48" t="str">
        <f t="shared" si="3"/>
        <v>"GMP#33033",</v>
      </c>
      <c r="L48" t="str">
        <f t="shared" si="3"/>
        <v>"GMP#34015",</v>
      </c>
      <c r="M48" t="str">
        <f t="shared" si="3"/>
        <v>"GMP#34018",</v>
      </c>
      <c r="N48" t="str">
        <f t="shared" si="3"/>
        <v>"GMP#34021",</v>
      </c>
      <c r="O48" t="str">
        <f t="shared" si="3"/>
        <v>"GMP#34023",</v>
      </c>
      <c r="P48" t="str">
        <f t="shared" si="3"/>
        <v>"GMP#34064",</v>
      </c>
      <c r="Q48" t="str">
        <f t="shared" si="3"/>
        <v>"GMP#34068",</v>
      </c>
      <c r="R48" t="str">
        <f t="shared" si="3"/>
        <v>"GMP#34070",</v>
      </c>
      <c r="S48" t="str">
        <f t="shared" si="4"/>
        <v>"GMP#34072",</v>
      </c>
    </row>
    <row r="49" spans="1:18" x14ac:dyDescent="0.2">
      <c r="A49" t="s">
        <v>39</v>
      </c>
      <c r="B49" t="str">
        <f t="shared" si="7"/>
        <v>"CIBI00625",</v>
      </c>
      <c r="C49" t="str">
        <f t="shared" si="3"/>
        <v>"CIBI00626",</v>
      </c>
      <c r="D49" t="str">
        <f t="shared" si="3"/>
        <v>"CIBI00627",</v>
      </c>
      <c r="E49" t="str">
        <f t="shared" si="3"/>
        <v>"CIBI00628",</v>
      </c>
      <c r="F49" t="str">
        <f t="shared" si="3"/>
        <v>"CIBI01073",</v>
      </c>
      <c r="G49" t="str">
        <f t="shared" si="3"/>
        <v>"CIBI01074",</v>
      </c>
      <c r="H49" t="str">
        <f t="shared" si="3"/>
        <v>"CIBI01075",</v>
      </c>
      <c r="I49" t="str">
        <f t="shared" si="3"/>
        <v>"CIBI01076",</v>
      </c>
      <c r="J49" t="str">
        <f t="shared" si="3"/>
        <v>"CIBI01077",</v>
      </c>
      <c r="K49" t="str">
        <f t="shared" si="3"/>
        <v>"CIBI01078",</v>
      </c>
      <c r="L49" t="str">
        <f t="shared" si="3"/>
        <v>"CIBI01079",</v>
      </c>
      <c r="M49" t="str">
        <f t="shared" si="3"/>
        <v>"CIBI01080",</v>
      </c>
      <c r="N49" t="str">
        <f t="shared" si="3"/>
        <v>"CIBI01442",</v>
      </c>
      <c r="O49" t="str">
        <f t="shared" si="3"/>
        <v>"CIBI01444",</v>
      </c>
      <c r="P49" t="str">
        <f t="shared" si="3"/>
        <v>"CIBI01445",</v>
      </c>
      <c r="Q49" t="str">
        <f t="shared" si="3"/>
        <v>"CIBI01450",</v>
      </c>
      <c r="R49" t="str">
        <f t="shared" si="3"/>
        <v>"CIBI01454",</v>
      </c>
    </row>
    <row r="50" spans="1:18" x14ac:dyDescent="0.2">
      <c r="A50" t="s">
        <v>38</v>
      </c>
      <c r="B50" t="str">
        <f t="shared" si="7"/>
        <v>"CIBI00082",</v>
      </c>
      <c r="C50" t="str">
        <f t="shared" si="3"/>
        <v>"CIBI00084",</v>
      </c>
      <c r="D50" t="str">
        <f t="shared" si="3"/>
        <v>"CIBI00087",</v>
      </c>
      <c r="E50" t="str">
        <f t="shared" si="3"/>
        <v>"CIBI00113",</v>
      </c>
      <c r="F50" t="str">
        <f t="shared" si="3"/>
        <v>"CIBI00161",</v>
      </c>
      <c r="G50" t="str">
        <f t="shared" si="3"/>
        <v>"CIBI00199",</v>
      </c>
      <c r="H50" t="str">
        <f t="shared" si="3"/>
        <v>"CIBI00248",</v>
      </c>
      <c r="I50" t="str">
        <f t="shared" si="3"/>
        <v>"CIBI00303",</v>
      </c>
      <c r="J50" t="str">
        <f t="shared" si="3"/>
        <v>"CIBI00394",</v>
      </c>
      <c r="K50" t="str">
        <f t="shared" si="3"/>
        <v>"CIBI00602",</v>
      </c>
      <c r="L50" t="str">
        <f t="shared" si="3"/>
        <v>"CIBI00839",</v>
      </c>
      <c r="M50" t="str">
        <f t="shared" si="3"/>
        <v>"CIBI00925",</v>
      </c>
      <c r="N50" t="str">
        <f t="shared" si="3"/>
        <v>"CIBI01058",</v>
      </c>
      <c r="O50" t="str">
        <f t="shared" si="3"/>
        <v>"CIBI01191",</v>
      </c>
    </row>
    <row r="51" spans="1:18" x14ac:dyDescent="0.2">
      <c r="A51" t="s">
        <v>49</v>
      </c>
      <c r="B51" t="str">
        <f t="shared" si="7"/>
        <v>"CIBI00080",</v>
      </c>
      <c r="C51" t="str">
        <f t="shared" si="3"/>
        <v>"CIBI00085",</v>
      </c>
      <c r="D51" t="str">
        <f t="shared" si="3"/>
        <v>"CIBI00088",</v>
      </c>
      <c r="E51" t="str">
        <f t="shared" si="3"/>
        <v>"CIBI00114",</v>
      </c>
      <c r="F51" t="str">
        <f t="shared" si="3"/>
        <v>"CIBI00163",</v>
      </c>
      <c r="G51" t="str">
        <f t="shared" si="3"/>
        <v>"CIBI00200",</v>
      </c>
      <c r="H51" t="str">
        <f t="shared" si="3"/>
        <v>"CIBI00247",</v>
      </c>
      <c r="I51" t="str">
        <f t="shared" si="3"/>
        <v>"CIBI00305",</v>
      </c>
      <c r="J51" t="str">
        <f t="shared" si="3"/>
        <v>"CIBI00396",</v>
      </c>
      <c r="K51" t="str">
        <f t="shared" si="3"/>
        <v>"CIBI00600",</v>
      </c>
      <c r="L51" t="str">
        <f t="shared" si="3"/>
        <v>"CIBI00841",</v>
      </c>
      <c r="M51" t="str">
        <f t="shared" si="3"/>
        <v>"CIBI00927",</v>
      </c>
      <c r="N51" t="str">
        <f t="shared" si="3"/>
        <v>"CIBI01059",</v>
      </c>
      <c r="O51" t="str">
        <f t="shared" si="3"/>
        <v>"CIBI01192",</v>
      </c>
    </row>
    <row r="52" spans="1:18" x14ac:dyDescent="0.2">
      <c r="A52" t="s">
        <v>40</v>
      </c>
      <c r="B52" t="str">
        <f t="shared" si="7"/>
        <v>"CIBI00616",</v>
      </c>
      <c r="C52" t="str">
        <f t="shared" si="3"/>
        <v>"CIBI00618",</v>
      </c>
      <c r="D52" t="str">
        <f t="shared" si="3"/>
        <v>"CIBI00619",</v>
      </c>
      <c r="E52" t="str">
        <f t="shared" si="3"/>
        <v>"CIBI00623",</v>
      </c>
      <c r="F52" t="str">
        <f t="shared" si="3"/>
        <v>"CIBI00629",</v>
      </c>
      <c r="G52" t="str">
        <f t="shared" si="3"/>
        <v>"CIBI01065",</v>
      </c>
      <c r="H52" t="str">
        <f t="shared" si="3"/>
        <v>"CIBI01066",</v>
      </c>
      <c r="I52" t="str">
        <f t="shared" si="3"/>
        <v>"CIBI01067",</v>
      </c>
      <c r="J52" t="str">
        <f t="shared" si="3"/>
        <v>"CIBI01068",</v>
      </c>
      <c r="K52" t="str">
        <f t="shared" si="3"/>
        <v>"CIBI01433",</v>
      </c>
      <c r="L52" t="str">
        <f t="shared" si="3"/>
        <v>"CIBI01435",</v>
      </c>
      <c r="M52" t="str">
        <f t="shared" si="3"/>
        <v>"CIBI01436",</v>
      </c>
      <c r="N52" t="str">
        <f t="shared" si="3"/>
        <v>"CIBI01446",</v>
      </c>
      <c r="O52" t="str">
        <f t="shared" si="3"/>
        <v>"CIBI01447",</v>
      </c>
    </row>
    <row r="53" spans="1:18" x14ac:dyDescent="0.2">
      <c r="A53" t="s">
        <v>36</v>
      </c>
      <c r="B53" t="str">
        <f t="shared" si="7"/>
        <v>"CIBI00615",</v>
      </c>
      <c r="C53" t="str">
        <f t="shared" si="3"/>
        <v>"CIBI00617",</v>
      </c>
      <c r="D53" t="str">
        <f t="shared" si="3"/>
        <v>"CIBI00620",</v>
      </c>
      <c r="E53" t="str">
        <f t="shared" si="3"/>
        <v>"CIBI00624",</v>
      </c>
      <c r="F53" t="str">
        <f t="shared" si="3"/>
        <v>"CIBI00631",</v>
      </c>
      <c r="G53" t="str">
        <f t="shared" si="3"/>
        <v>"CIBI01069",</v>
      </c>
      <c r="H53" t="str">
        <f t="shared" si="3"/>
        <v>"CIBI01070",</v>
      </c>
      <c r="I53" t="str">
        <f t="shared" si="3"/>
        <v>"CIBI01071",</v>
      </c>
      <c r="J53" t="str">
        <f t="shared" si="3"/>
        <v>"CIBI01072",</v>
      </c>
      <c r="K53" t="str">
        <f t="shared" si="3"/>
        <v>"CIBI01434",</v>
      </c>
      <c r="L53" t="str">
        <f t="shared" si="3"/>
        <v>"CIBI01437",</v>
      </c>
      <c r="M53" t="str">
        <f t="shared" si="3"/>
        <v>"CIBI01438",</v>
      </c>
      <c r="N53" t="str">
        <f t="shared" si="3"/>
        <v>"CIBI01448",</v>
      </c>
      <c r="O53" t="str">
        <f t="shared" si="3"/>
        <v>"CIBI01449",</v>
      </c>
    </row>
    <row r="54" spans="1:18" x14ac:dyDescent="0.2">
      <c r="A54" t="s">
        <v>45</v>
      </c>
      <c r="B54" t="str">
        <f t="shared" si="7"/>
        <v>"CIBI00086",</v>
      </c>
      <c r="C54" t="str">
        <f t="shared" si="3"/>
        <v>"CIBI00089",</v>
      </c>
      <c r="D54" t="str">
        <f t="shared" si="3"/>
        <v>"CIBI00106",</v>
      </c>
      <c r="E54" t="str">
        <f t="shared" si="3"/>
        <v>"CIBI00167",</v>
      </c>
      <c r="F54" t="str">
        <f t="shared" si="3"/>
        <v>"CIBI00205",</v>
      </c>
      <c r="G54" t="str">
        <f t="shared" si="3"/>
        <v>"CIBI00250",</v>
      </c>
      <c r="H54" t="str">
        <f t="shared" si="3"/>
        <v>"CIBI00301",</v>
      </c>
      <c r="I54" t="str">
        <f t="shared" si="3"/>
        <v>"CIBI00405",</v>
      </c>
      <c r="J54" t="str">
        <f t="shared" si="3"/>
        <v>"CIBI00575",</v>
      </c>
      <c r="K54" t="str">
        <f t="shared" si="3"/>
        <v>"CIBI00852",</v>
      </c>
      <c r="L54" t="str">
        <f t="shared" si="3"/>
        <v>"CIBI00934",</v>
      </c>
      <c r="M54" t="str">
        <f t="shared" si="3"/>
        <v>"CIBI01064",</v>
      </c>
      <c r="N54" t="str">
        <f t="shared" si="3"/>
        <v>"CIBI01195",</v>
      </c>
    </row>
    <row r="55" spans="1:18" x14ac:dyDescent="0.2">
      <c r="A55" t="s">
        <v>43</v>
      </c>
      <c r="B55" t="str">
        <f>CONCATENATE($A$42,B34,$A$42,$A$43)</f>
        <v>"CIBI00115",</v>
      </c>
      <c r="C55" t="str">
        <f t="shared" si="3"/>
        <v>"CIBI00165",</v>
      </c>
      <c r="D55" t="str">
        <f t="shared" si="3"/>
        <v>"CIBI00201",</v>
      </c>
      <c r="E55" t="str">
        <f t="shared" si="3"/>
        <v>"CIBI00249",</v>
      </c>
      <c r="F55" t="str">
        <f t="shared" si="3"/>
        <v>"CIBI00307",</v>
      </c>
      <c r="G55" t="str">
        <f t="shared" si="3"/>
        <v>"CIBI00398",</v>
      </c>
      <c r="H55" t="str">
        <f t="shared" si="3"/>
        <v>"CIBI00597",</v>
      </c>
      <c r="I55" t="str">
        <f t="shared" si="3"/>
        <v>"CIBI00843",</v>
      </c>
      <c r="J55" t="str">
        <f t="shared" si="3"/>
        <v>"CIBI00930",</v>
      </c>
      <c r="K55" t="str">
        <f t="shared" si="3"/>
        <v>"CIBI01060",</v>
      </c>
      <c r="L55" t="str">
        <f t="shared" si="3"/>
        <v>"CIBI01193",</v>
      </c>
      <c r="M55" t="str">
        <f t="shared" si="3"/>
        <v>"CIBI01336",</v>
      </c>
      <c r="N55" t="str">
        <f t="shared" si="3"/>
        <v>"CIBI01487",</v>
      </c>
    </row>
    <row r="56" spans="1:18" x14ac:dyDescent="0.2">
      <c r="A56" t="s">
        <v>233</v>
      </c>
      <c r="B56" t="str">
        <f t="shared" ref="B56:L62" si="8">CONCATENATE($A$42,B35,$A$42,$A$43)</f>
        <v>"GMP#16994",</v>
      </c>
      <c r="C56" t="str">
        <f t="shared" si="3"/>
        <v>"GMP#17042",</v>
      </c>
      <c r="D56" t="str">
        <f t="shared" si="3"/>
        <v>"GMP#17050",</v>
      </c>
      <c r="E56" t="str">
        <f t="shared" si="3"/>
        <v>"GMP#17054",</v>
      </c>
      <c r="F56" t="str">
        <f t="shared" si="3"/>
        <v>"GMP#17058",</v>
      </c>
      <c r="G56" t="str">
        <f t="shared" si="3"/>
        <v>"GMP#17062",</v>
      </c>
      <c r="H56" t="str">
        <f t="shared" si="3"/>
        <v>"GMP#17066",</v>
      </c>
      <c r="I56" t="str">
        <f t="shared" si="3"/>
        <v>"GMP#17070",</v>
      </c>
      <c r="J56" t="str">
        <f t="shared" si="3"/>
        <v>"GMP#17074",</v>
      </c>
      <c r="K56" t="str">
        <f t="shared" si="3"/>
        <v>"GMP#17078",</v>
      </c>
      <c r="L56" t="str">
        <f t="shared" si="3"/>
        <v>"GMP#17082",</v>
      </c>
      <c r="M56" t="str">
        <f t="shared" si="3"/>
        <v>"GMP#17087",</v>
      </c>
      <c r="N56" t="str">
        <f t="shared" si="3"/>
        <v>"GMP#17091",</v>
      </c>
    </row>
    <row r="57" spans="1:18" x14ac:dyDescent="0.2">
      <c r="A57" t="s">
        <v>48</v>
      </c>
      <c r="B57" t="str">
        <f t="shared" si="8"/>
        <v>"CIBI00215",</v>
      </c>
      <c r="C57" t="str">
        <f t="shared" si="3"/>
        <v>"CIBI00216",</v>
      </c>
      <c r="D57" t="str">
        <f t="shared" si="3"/>
        <v>"CIBI00217",</v>
      </c>
      <c r="E57" t="str">
        <f t="shared" si="3"/>
        <v>"CIBI00218",</v>
      </c>
      <c r="F57" t="str">
        <f t="shared" si="3"/>
        <v>"CIBI00219",</v>
      </c>
      <c r="G57" t="str">
        <f t="shared" si="3"/>
        <v>"CIBI00635",</v>
      </c>
      <c r="H57" t="str">
        <f t="shared" si="3"/>
        <v>"CIBI00635",</v>
      </c>
      <c r="I57" t="str">
        <f t="shared" si="3"/>
        <v>"CIBI00636",</v>
      </c>
      <c r="J57" t="str">
        <f t="shared" si="3"/>
        <v>"CIBI00767",</v>
      </c>
      <c r="K57" t="str">
        <f t="shared" si="3"/>
        <v>"CIBI00943",</v>
      </c>
      <c r="L57" t="str">
        <f t="shared" si="3"/>
        <v>"CIBI01106",</v>
      </c>
      <c r="M57" t="str">
        <f t="shared" si="3"/>
        <v>"CIBI01165",</v>
      </c>
      <c r="N57" t="str">
        <f t="shared" si="3"/>
        <v>"CIBI01208",</v>
      </c>
    </row>
    <row r="58" spans="1:18" x14ac:dyDescent="0.2">
      <c r="A58" t="s">
        <v>47</v>
      </c>
      <c r="B58" t="str">
        <f t="shared" si="8"/>
        <v>"CIBI00347",</v>
      </c>
      <c r="C58" t="str">
        <f t="shared" si="3"/>
        <v>"CIBI00491",</v>
      </c>
      <c r="D58" t="str">
        <f t="shared" si="3"/>
        <v>"CIBI00495",</v>
      </c>
      <c r="E58" t="str">
        <f t="shared" si="3"/>
        <v>"CIBI01006",</v>
      </c>
      <c r="F58" t="str">
        <f t="shared" si="3"/>
        <v>"CIBI01011",</v>
      </c>
      <c r="G58" t="str">
        <f t="shared" si="3"/>
        <v>"CIBI01012",</v>
      </c>
      <c r="H58" t="str">
        <f t="shared" si="3"/>
        <v>"CIBI01018",</v>
      </c>
      <c r="I58" t="str">
        <f t="shared" si="3"/>
        <v>"CIBI01021",</v>
      </c>
      <c r="J58" t="str">
        <f t="shared" si="3"/>
        <v>"CIBI01680",</v>
      </c>
      <c r="K58" t="str">
        <f t="shared" si="3"/>
        <v>"CIBI01684",</v>
      </c>
      <c r="L58" t="str">
        <f t="shared" si="3"/>
        <v>"CIBI01686",</v>
      </c>
      <c r="M58" t="str">
        <f t="shared" si="3"/>
        <v>"CIBI01887",</v>
      </c>
      <c r="N58" t="str">
        <f t="shared" si="3"/>
        <v>"CIBI01888",</v>
      </c>
    </row>
    <row r="59" spans="1:18" x14ac:dyDescent="0.2">
      <c r="A59" t="s">
        <v>44</v>
      </c>
      <c r="B59" t="str">
        <f t="shared" si="8"/>
        <v>"CIBI00202",</v>
      </c>
      <c r="C59" t="str">
        <f t="shared" si="3"/>
        <v>"CIBI00246",</v>
      </c>
      <c r="D59" t="str">
        <f t="shared" si="3"/>
        <v>"CIBI00309",</v>
      </c>
      <c r="E59" t="str">
        <f t="shared" si="3"/>
        <v>"CIBI00401",</v>
      </c>
      <c r="F59" t="str">
        <f t="shared" si="3"/>
        <v>"CIBI00583",</v>
      </c>
      <c r="G59" t="str">
        <f t="shared" si="3"/>
        <v>"CIBI00845",</v>
      </c>
      <c r="H59" t="str">
        <f t="shared" si="3"/>
        <v>"CIBI00932",</v>
      </c>
      <c r="I59" t="str">
        <f t="shared" si="3"/>
        <v>"CIBI01063",</v>
      </c>
      <c r="J59" t="str">
        <f t="shared" si="3"/>
        <v>"CIBI01194",</v>
      </c>
      <c r="K59" t="str">
        <f t="shared" si="3"/>
        <v>"CIBI01334",</v>
      </c>
      <c r="L59" t="str">
        <f t="shared" si="3"/>
        <v>"CIBI01345",</v>
      </c>
      <c r="M59" t="str">
        <f t="shared" si="3"/>
        <v>"CIBI01384",</v>
      </c>
    </row>
    <row r="60" spans="1:18" x14ac:dyDescent="0.2">
      <c r="A60" t="s">
        <v>35</v>
      </c>
      <c r="B60" t="str">
        <f t="shared" si="8"/>
        <v>"GMP#55427",</v>
      </c>
      <c r="C60" t="str">
        <f t="shared" si="3"/>
        <v>"GMP#55431",</v>
      </c>
      <c r="D60" t="str">
        <f t="shared" si="3"/>
        <v>"GMP#55435",</v>
      </c>
      <c r="E60" t="str">
        <f t="shared" si="3"/>
        <v>"GMP#55439",</v>
      </c>
      <c r="F60" t="str">
        <f t="shared" si="3"/>
        <v>"GMP#55444",</v>
      </c>
      <c r="G60" t="str">
        <f t="shared" si="3"/>
        <v>"GMP#55448",</v>
      </c>
      <c r="H60" t="str">
        <f t="shared" si="3"/>
        <v>"GMP#55452",</v>
      </c>
      <c r="I60" t="str">
        <f t="shared" si="3"/>
        <v>"GMP#55457",</v>
      </c>
      <c r="J60" t="str">
        <f t="shared" si="3"/>
        <v>"GMP#55461",</v>
      </c>
      <c r="K60" t="str">
        <f t="shared" si="3"/>
        <v>"GMP#55466",</v>
      </c>
      <c r="L60" t="str">
        <f t="shared" si="3"/>
        <v>"GMP#55470",</v>
      </c>
      <c r="M60" t="str">
        <f t="shared" si="3"/>
        <v>"GMP#55474",</v>
      </c>
    </row>
    <row r="61" spans="1:18" x14ac:dyDescent="0.2">
      <c r="A61" t="s">
        <v>51</v>
      </c>
      <c r="B61" t="str">
        <f t="shared" si="8"/>
        <v>"CIBI00031",</v>
      </c>
      <c r="C61" t="str">
        <f t="shared" si="8"/>
        <v>"CIBI00033",</v>
      </c>
      <c r="D61" t="str">
        <f t="shared" si="8"/>
        <v>"CIBI00125",</v>
      </c>
      <c r="E61" t="str">
        <f t="shared" si="8"/>
        <v>"CIBI00650",</v>
      </c>
      <c r="F61" t="str">
        <f t="shared" si="8"/>
        <v>"CIBI00652",</v>
      </c>
      <c r="G61" t="str">
        <f t="shared" si="8"/>
        <v>"CIBI00654",</v>
      </c>
      <c r="H61" t="str">
        <f t="shared" si="8"/>
        <v>"CIBI00656",</v>
      </c>
      <c r="I61" t="str">
        <f t="shared" si="8"/>
        <v>"CIBI01211",</v>
      </c>
      <c r="J61" t="str">
        <f t="shared" si="8"/>
        <v>"CIBI01213",</v>
      </c>
      <c r="K61" t="str">
        <f t="shared" si="8"/>
        <v>"CIBI01215",</v>
      </c>
      <c r="L61" t="str">
        <f t="shared" si="8"/>
        <v>"CIBI01217",</v>
      </c>
    </row>
    <row r="62" spans="1:18" x14ac:dyDescent="0.2">
      <c r="A62" t="s">
        <v>46</v>
      </c>
      <c r="B62" t="str">
        <f t="shared" si="8"/>
        <v>"CIBI00037",</v>
      </c>
      <c r="C62" t="str">
        <f t="shared" si="8"/>
        <v>"CIBI00135",</v>
      </c>
      <c r="D62" t="str">
        <f t="shared" si="8"/>
        <v>"CIBI00538",</v>
      </c>
      <c r="E62" t="str">
        <f t="shared" si="8"/>
        <v>"CIBI00540",</v>
      </c>
      <c r="F62" t="str">
        <f t="shared" si="8"/>
        <v>"CIBI00542",</v>
      </c>
      <c r="G62" t="str">
        <f t="shared" si="8"/>
        <v>"CIBI01150",</v>
      </c>
      <c r="H62" t="str">
        <f t="shared" si="8"/>
        <v>"CIBI01152",</v>
      </c>
      <c r="I62" t="str">
        <f t="shared" si="8"/>
        <v>"CIBI01154",</v>
      </c>
      <c r="J62" t="str">
        <f t="shared" si="8"/>
        <v>"CIBI01156",</v>
      </c>
      <c r="K62" t="str">
        <f t="shared" si="8"/>
        <v>"CIBI01158",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2025-09-09T19:40:23Z</dcterms:created>
  <dcterms:modified xsi:type="dcterms:W3CDTF">2025-09-09T20:57:15Z</dcterms:modified>
</cp:coreProperties>
</file>